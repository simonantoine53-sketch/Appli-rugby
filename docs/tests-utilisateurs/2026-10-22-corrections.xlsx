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À faire maintenant" sheetId="2" state="visible" r:id="rId4"/>
    <sheet name="À tester plus tard" sheetId="3" state="visible" r:id="rId5"/>
    <sheet name="À vérifier sur un vrai appareil" sheetId="4" state="visible" r:id="rId6"/>
  </sheets>
  <definedNames>
    <definedName function="false" hidden="true" localSheetId="1" name="_xlnm._FilterDatabase" vbProcedure="false">'À faire maintenant'!$A$3:$J$57</definedName>
    <definedName function="false" hidden="true" localSheetId="2" name="_xlnm._FilterDatabase" vbProcedure="false">'À tester plus tard'!$A$3:$K$14</definedName>
    <definedName function="false" hidden="true" localSheetId="3" name="_xlnm._FilterDatabase" vbProcedure="false">'À vérifier sur un vrai appareil'!$A$3:$F$12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<sst xmlns="http://schemas.openxmlformats.org/spreadsheetml/2006/main" count="629" uniqueCount="344">
  <si>
    <t xml:space="preserve">Tests utilisateurs du 22 octobre 2026 : corrections</t>
  </si>
  <si>
    <t xml:space="preserve">Source : docs/tests-utilisateurs/2026-10-22.md (test synthétique : 5 personas joués par des IA + revue Nielsen + audit axe-core). Difficulté et temps : estimations de Claude, à ajuster.</t>
  </si>
  <si>
    <t xml:space="preserve">Bloquant</t>
  </si>
  <si>
    <t xml:space="preserve">Gênant</t>
  </si>
  <si>
    <t xml:space="preserve">Mineur</t>
  </si>
  <si>
    <t xml:space="preserve">Total</t>
  </si>
  <si>
    <t xml:space="preserve">Temps estimé (h)</t>
  </si>
  <si>
    <t xml:space="preserve">À faire maintenant</t>
  </si>
  <si>
    <t xml:space="preserve">À tester plus tard</t>
  </si>
  <si>
    <t xml:space="preserve">À vérifier sur un vrai appareil</t>
  </si>
  <si>
    <t xml:space="preserve">« À faire maintenant » par difficulté</t>
  </si>
  <si>
    <t xml:space="preserve">Nombre</t>
  </si>
  <si>
    <t xml:space="preserve">Heures</t>
  </si>
  <si>
    <t xml:space="preserve">1 - Facile</t>
  </si>
  <si>
    <t xml:space="preserve">2 - Moyen</t>
  </si>
  <si>
    <t xml:space="preserve">3 - Difficile</t>
  </si>
  <si>
    <t xml:space="preserve">Avancement « À faire maintenant »</t>
  </si>
  <si>
    <t xml:space="preserve">Fait</t>
  </si>
  <si>
    <t xml:space="preserve">% fait</t>
  </si>
  <si>
    <t xml:space="preserve">Les 5 corrections prioritaires du rapport : G1 (une fenêtre à la fois), B1 (nouveau coach), B2 (démarrage lent, mesurer d'abord), G3+G4+G6 (stratégies), G2 (heure de rendez-vous).</t>
  </si>
  <si>
    <t xml:space="preserve">Mode d'emploi : changez la colonne « Statut » (liste déroulante) au fil des corrections ; le résumé se met à jour. Difficulté : 1 = moins d'une heure (texte, couleur), 2 = quelques heures, 3 = une journée ou plus.</t>
  </si>
  <si>
    <t xml:space="preserve">À faire maintenant : bonnes pratiques et défauts évidents (du plus facile au plus difficile)</t>
  </si>
  <si>
    <t xml:space="preserve">Ordre</t>
  </si>
  <si>
    <t xml:space="preserve">Réf. rapport</t>
  </si>
  <si>
    <t xml:space="preserve">Problème</t>
  </si>
  <si>
    <t xml:space="preserve">Écran</t>
  </si>
  <si>
    <t xml:space="preserve">Vu par</t>
  </si>
  <si>
    <t xml:space="preserve">Gravité</t>
  </si>
  <si>
    <t xml:space="preserve">Solution proposée</t>
  </si>
  <si>
    <t xml:space="preserve">Difficulté</t>
  </si>
  <si>
    <t xml:space="preserve">Statut</t>
  </si>
  <si>
    <t xml:space="preserve">B1</t>
  </si>
  <si>
    <t xml:space="preserve">Un nouveau coach ne peut pas créer son équipe (« Créer le club » grisé, aucune piste)</t>
  </si>
  <si>
    <t xml:space="preserve">Accueil sans club, Compte</t>
  </si>
  <si>
    <t xml:space="preserve">Michel, Sandrine</t>
  </si>
  <si>
    <t xml:space="preserve">Bouton actif « Demander l'ouverture de mon club » (e-mail prérempli) + « Réponse sous 24 h » ; renommer le bouton du menu tant que la création est fermée.</t>
  </si>
  <si>
    <t xml:space="preserve">À faire</t>
  </si>
  <si>
    <t xml:space="preserve">G5</t>
  </si>
  <si>
    <t xml:space="preserve">« Relancer » et « Copier pour WhatsApp » tutoient (« utilise », « colle-le »)</t>
  </si>
  <si>
    <t xml:space="preserve">Agenda › événement</t>
  </si>
  <si>
    <t xml:space="preserve">Michel</t>
  </si>
  <si>
    <t xml:space="preserve">Vouvoyer : « utilisez », « collez-le ».</t>
  </si>
  <si>
    <t xml:space="preserve">G16</t>
  </si>
  <si>
    <t xml:space="preserve">Rien ne confirme que la convocation est partie ; le mot « convocation » n'apparaît pas</t>
  </si>
  <si>
    <t xml:space="preserve">Agenda › nouvel événement</t>
  </si>
  <si>
    <t xml:space="preserve">Case « Envoyer la convocation à l'équipe » ; message « Convocation envoyée à 14 joueurs ».</t>
  </si>
  <si>
    <t xml:space="preserve">G15</t>
  </si>
  <si>
    <t xml:space="preserve">Les « Sans réponse » sont tout en bas, le compteur n'est pas cliquable</t>
  </si>
  <si>
    <t xml:space="preserve">Afficher les « Sans réponse » en premier ; compteurs cliquables.</t>
  </si>
  <si>
    <t xml:space="preserve">G3</t>
  </si>
  <si>
    <t xml:space="preserve">Le joueur arrive sur « Mes dessins » vide : il croit qu'il n'y a pas de stratégie</t>
  </si>
  <si>
    <t xml:space="preserve">Stratégies (joueur)</t>
  </si>
  <si>
    <t xml:space="preserve">Lucas</t>
  </si>
  <si>
    <t xml:space="preserve">Ouvrir sur « De l'équipe » pour un joueur (au moins si une stratégie n'est pas vue).</t>
  </si>
  <si>
    <t xml:space="preserve">G20</t>
  </si>
  <si>
    <t xml:space="preserve">« Choisir l'équipe de Emma » reste affiché après la demande ; Séniors proposé à une ado</t>
  </si>
  <si>
    <t xml:space="preserve">Accueil parent</t>
  </si>
  <si>
    <t xml:space="preserve">Emma et Karim</t>
  </si>
  <si>
    <t xml:space="preserve">Remplacer par « Demande envoyée à U16 : le coach doit la valider » ; masquer les équipes séniors pour un jeune.</t>
  </si>
  <si>
    <t xml:space="preserve">G12</t>
  </si>
  <si>
    <t xml:space="preserve">Le lien d'invitation ouvre « Inscription » même pour qui a déjà un compte</t>
  </si>
  <si>
    <t xml:space="preserve">Lien d'invitation</t>
  </si>
  <si>
    <t xml:space="preserve">Deux gros boutons égaux : « J'ai déjà un compte » / « Créer mon compte ».</t>
  </si>
  <si>
    <t xml:space="preserve">G23</t>
  </si>
  <si>
    <t xml:space="preserve">Contrastes juste sous le seuil (gris secondaire, bleu pâle ; en sombre : boutons et Présent/Peut-être/Absent)</t>
  </si>
  <si>
    <t xml:space="preserve">Partout</t>
  </si>
  <si>
    <t xml:space="preserve">Audit</t>
  </si>
  <si>
    <t xml:space="preserve">Ajuster 6 variables de :root (valeurs proposées dans le rapport, section 5).</t>
  </si>
  <si>
    <t xml:space="preserve">G11</t>
  </si>
  <si>
    <t xml:space="preserve">Rien pour un jeune de moins de 15 ans ; la phrase « Demandez à un parent » est cachée</t>
  </si>
  <si>
    <t xml:space="preserve">Inscription</t>
  </si>
  <si>
    <t xml:space="preserve">3e carte « J'ai moins de 15 ans » qui explique, avec « Envoyer ce lien à mon parent ».</t>
  </si>
  <si>
    <t xml:space="preserve">G19</t>
  </si>
  <si>
    <t xml:space="preserve">Accord parental peu clair (« pour lui », pas de prénom, aucune trace ensuite)</t>
  </si>
  <si>
    <t xml:space="preserve">Inscription parent, Mes jeunes</t>
  </si>
  <si>
    <t xml:space="preserve">Texte avec le prénom, 2-3 puces sur ce que voit l'équipe, « Accord donné le … » dans Mes jeunes. Vérifier js/legal.js.</t>
  </si>
  <si>
    <t xml:space="preserve">M31</t>
  </si>
  <si>
    <t xml:space="preserve">« Ouvrir l'appli » avec une apostrophe droite</t>
  </si>
  <si>
    <t xml:space="preserve">Page publique d'une stratégie</t>
  </si>
  <si>
    <t xml:space="preserve">Apostrophe typographique ’ comme ailleurs.</t>
  </si>
  <si>
    <t xml:space="preserve">G20b</t>
  </si>
  <si>
    <t xml:space="preserve">Faute « Choisir l'équipe de Emma »</t>
  </si>
  <si>
    <t xml:space="preserve">Écrire « d'Emma » (élision devant une voyelle).</t>
  </si>
  <si>
    <t xml:space="preserve">M26</t>
  </si>
  <si>
    <t xml:space="preserve">Liens « En savoir plus », « Confidentialité », « Les lire » dans le bleu du navigateur</t>
  </si>
  <si>
    <t xml:space="preserve">Bandeaux, pages légales</t>
  </si>
  <si>
    <t xml:space="preserve">Une seule couleur de lien : var(--primary).</t>
  </si>
  <si>
    <t xml:space="preserve">M15</t>
  </si>
  <si>
    <t xml:space="preserve">« Lui donner son compte » sans explication</t>
  </si>
  <si>
    <t xml:space="preserve">Compte › Mes jeunes</t>
  </si>
  <si>
    <t xml:space="preserve">Ligne d'aide : « À partir de 15 ans, Emma aura son propre e-mail et mot de passe ».</t>
  </si>
  <si>
    <t xml:space="preserve">M13</t>
  </si>
  <si>
    <t xml:space="preserve">« Vérifiez votre boîte mail » sans dire la suite</t>
  </si>
  <si>
    <t xml:space="preserve">Après inscription</t>
  </si>
  <si>
    <t xml:space="preserve">Ajouter : « Ensuite : entrez le code donné par le club ».</t>
  </si>
  <si>
    <t xml:space="preserve">M3</t>
  </si>
  <si>
    <t xml:space="preserve">Icônes de partage (WhatsApp, SMS, e-mail) sans texte</t>
  </si>
  <si>
    <t xml:space="preserve">Équipe › Inviter</t>
  </si>
  <si>
    <t xml:space="preserve">Écrire « WhatsApp », « SMS », « E-mail » sous les icônes.</t>
  </si>
  <si>
    <t xml:space="preserve">M21</t>
  </si>
  <si>
    <t xml:space="preserve">Bouton « + Nouveau » ambigu (nouveau quoi ?)</t>
  </si>
  <si>
    <t xml:space="preserve">Stratégies (téléphone)</t>
  </si>
  <si>
    <t xml:space="preserve">Thomas</t>
  </si>
  <si>
    <t xml:space="preserve">« + Dessin » ; aligner avec le texte « + Nouveau dessin ».</t>
  </si>
  <si>
    <t xml:space="preserve">M27</t>
  </si>
  <si>
    <t xml:space="preserve">État « Publiée » de la feuille en gris clair, loin du titre</t>
  </si>
  <si>
    <t xml:space="preserve">Compos › feuille</t>
  </si>
  <si>
    <t xml:space="preserve">Pastille verte comme dans la liste Compos.</t>
  </si>
  <si>
    <t xml:space="preserve">M9</t>
  </si>
  <si>
    <t xml:space="preserve">« Voir la démo » et « Essayer sans compte » côte à côte sans différence expliquée</t>
  </si>
  <si>
    <t xml:space="preserve">Accueil visiteur</t>
  </si>
  <si>
    <t xml:space="preserve">Sandrine</t>
  </si>
  <si>
    <t xml:space="preserve">Sous-titres : « visiter un club fictif » / « dessiner sans compte ».</t>
  </si>
  <si>
    <t xml:space="preserve">M8</t>
  </si>
  <si>
    <t xml:space="preserve">L'équipe affichée n'a pas de bouton « Ouvrir » dans la liste du Club</t>
  </si>
  <si>
    <t xml:space="preserve">Équipe › Club</t>
  </si>
  <si>
    <t xml:space="preserve">Étiquette « Équipe affichée ».</t>
  </si>
  <si>
    <t xml:space="preserve">M30</t>
  </si>
  <si>
    <t xml:space="preserve">Back-office : « 21.3 par jour » (point), pas de titre, textes de 11 px</t>
  </si>
  <si>
    <t xml:space="preserve">Back-office</t>
  </si>
  <si>
    <t xml:space="preserve">« 21,3 », titre « Back-office », texte d'au moins 12 px.</t>
  </si>
  <si>
    <t xml:space="preserve">M16</t>
  </si>
  <si>
    <t xml:space="preserve">Profil d'Emma : « Quelques mots sur vous » ; taille et poids sans « facultatif »</t>
  </si>
  <si>
    <t xml:space="preserve">Profil d'un jeune</t>
  </si>
  <si>
    <t xml:space="preserve">« Quelques mots sur Emma (facultatif) » ; « (facultatif) » sur taille et poids.</t>
  </si>
  <si>
    <t xml:space="preserve">M14</t>
  </si>
  <si>
    <t xml:space="preserve">Textes au masculin ou inadaptés au parent (« pour lui », « votre poste »)</t>
  </si>
  <si>
    <t xml:space="preserve">Inscription parent, Compte</t>
  </si>
  <si>
    <t xml:space="preserve">« pour lui ou elle », « d'un enfant joueur ou joueuse » ; pas de « votre poste » pour un parent.</t>
  </si>
  <si>
    <t xml:space="preserve">M29</t>
  </si>
  <si>
    <t xml:space="preserve">Bouton « 💬 2 » : seul bouton à emoji</t>
  </si>
  <si>
    <t xml:space="preserve">Stratégies</t>
  </si>
  <si>
    <t xml:space="preserve">Icône de l'appli + nom « 2 commentaires ».</t>
  </si>
  <si>
    <t xml:space="preserve">M22</t>
  </si>
  <si>
    <t xml:space="preserve">Erreur technique en validant le n° d'un joueur avec Entrée (console)</t>
  </si>
  <si>
    <t xml:space="preserve">Éditeur</t>
  </si>
  <si>
    <t xml:space="preserve">Corriger l'erreur « replaceChildren » (sans effet visible aujourd'hui).</t>
  </si>
  <si>
    <t xml:space="preserve">M25</t>
  </si>
  <si>
    <t xml:space="preserve">Nom du dessin tronqué sur téléphone (« Croisée 1… »)</t>
  </si>
  <si>
    <t xml:space="preserve">Éditeur (téléphone)</t>
  </si>
  <si>
    <t xml:space="preserve">Audit, Thomas</t>
  </si>
  <si>
    <t xml:space="preserve">Titre sur deux lignes.</t>
  </si>
  <si>
    <t xml:space="preserve">M5</t>
  </si>
  <si>
    <t xml:space="preserve">Pas de message ni d'étapes suivantes après « Créer une équipe »</t>
  </si>
  <si>
    <t xml:space="preserve">« Équipe créée » + « Inviter la ou le coach », « Créer le premier entraînement ».</t>
  </si>
  <si>
    <t xml:space="preserve">M20</t>
  </si>
  <si>
    <t xml:space="preserve">Juste après la publication, « Mes dessins » est vide sans message</t>
  </si>
  <si>
    <t xml:space="preserve">Garder la carte affichée pendant le rechargement.</t>
  </si>
  <si>
    <t xml:space="preserve">M7</t>
  </si>
  <si>
    <t xml:space="preserve">Pastille « 1 » sur Équipe dans une équipe sans demande</t>
  </si>
  <si>
    <t xml:space="preserve">Barre du bas</t>
  </si>
  <si>
    <t xml:space="preserve">Pastille propre à l'équipe affichée, ou « 1 demande dans U16 ».</t>
  </si>
  <si>
    <t xml:space="preserve">M1</t>
  </si>
  <si>
    <t xml:space="preserve">Les messages temporaires recouvrent le bas des formulaires ou la barre d'onglets</t>
  </si>
  <si>
    <t xml:space="preserve">Michel, Lucas, Emma, Audit</t>
  </si>
  <si>
    <t xml:space="preserve">Les afficher au-dessus de la barre, opaques.</t>
  </si>
  <si>
    <t xml:space="preserve">M19</t>
  </si>
  <si>
    <t xml:space="preserve">Joueurs et numéros très petits ; « − / + » de taille non expliqué</t>
  </si>
  <si>
    <t xml:space="preserve">Thomas, Audit</t>
  </si>
  <si>
    <t xml:space="preserve">Taille par défaut plus grande ; libellé « Taille ».</t>
  </si>
  <si>
    <t xml:space="preserve">B3</t>
  </si>
  <si>
    <t xml:space="preserve">Les fiches (événements, compos, stratégies, membres) ne s'ouvrent pas au clavier</t>
  </si>
  <si>
    <t xml:space="preserve">Listes</t>
  </si>
  <si>
    <t xml:space="preserve">Le titre de chaque carte devient un vrai lien ou bouton qui couvre la carte.</t>
  </si>
  <si>
    <t xml:space="preserve">G2</t>
  </si>
  <si>
    <t xml:space="preserve">Heure de rendez-vous différente : 12h30 (agenda) / 13h30 (feuille de match)</t>
  </si>
  <si>
    <t xml:space="preserve">Compos › feuille, impression</t>
  </si>
  <si>
    <t xml:space="preserve">Michel, Lucas</t>
  </si>
  <si>
    <t xml:space="preserve">La feuille reprend l'heure de l'événement ; signaler tout écart. Chercher la cause de l'heure pile.</t>
  </si>
  <si>
    <t xml:space="preserve">G22</t>
  </si>
  <si>
    <t xml:space="preserve">Deux ballons sur le terrain ; l'aperçu s'ouvre figé sur la dernière étape</t>
  </si>
  <si>
    <t xml:space="preserve">Un seul porteur de ballon par étape ; aperçu lancé depuis l'étape 1.</t>
  </si>
  <si>
    <t xml:space="preserve">G21</t>
  </si>
  <si>
    <t xml:space="preserve">Section « Joueurs » sous le pli ; bulle d'aide qui cache Supprimer sur téléphone</t>
  </si>
  <si>
    <t xml:space="preserve">« Joueurs » et ballon en premier ; masquer la bulle dès qu'un joueur est posé.</t>
  </si>
  <si>
    <t xml:space="preserve">G14</t>
  </si>
  <si>
    <t xml:space="preserve">La page remonte tout en haut après « Présent » ou « Ajouter les présents »</t>
  </si>
  <si>
    <t xml:space="preserve">Agenda, Compos</t>
  </si>
  <si>
    <t xml:space="preserve">Lucas, Michel</t>
  </si>
  <si>
    <t xml:space="preserve">Garder la position ; message précis (« Enzo Marchand ajouté en n°20 »).</t>
  </si>
  <si>
    <t xml:space="preserve">G18</t>
  </si>
  <si>
    <t xml:space="preserve">Ronds « 1 / C / D » de 30 px à deviner, croix de retrait collée au « D »</t>
  </si>
  <si>
    <t xml:space="preserve">Compos › feuille (téléphone)</t>
  </si>
  <si>
    <t xml:space="preserve">Michel, Audit</t>
  </si>
  <si>
    <t xml:space="preserve">Légende au-dessus ; ronds de 44 px ; croix séparée.</t>
  </si>
  <si>
    <t xml:space="preserve">G10a</t>
  </si>
  <si>
    <t xml:space="preserve">Démo : bulle du tutoriel cachée par le bandeau ; Présences vides alors que 22 membres</t>
  </si>
  <si>
    <t xml:space="preserve">Démo</t>
  </si>
  <si>
    <t xml:space="preserve">Placer la bulle au-dessus du bandeau ; remplir les présences de la démo.</t>
  </si>
  <si>
    <t xml:space="preserve">G5b</t>
  </si>
  <si>
    <t xml:space="preserve">« Relancer » n'envoie rien quand les joueurs n'ont pas les notifications (on l'apprend après)</t>
  </si>
  <si>
    <t xml:space="preserve">Afficher directement « Envoyer sur WhatsApp » (message prêt + lien de l'événement).</t>
  </si>
  <si>
    <t xml:space="preserve">G1</t>
  </si>
  <si>
    <t xml:space="preserve">Jusqu'à 4 fenêtres à l'arrivée, « Nos conditions évoluent » en double, cache le menu</t>
  </si>
  <si>
    <t xml:space="preserve">Première connexion</t>
  </si>
  <si>
    <t xml:space="preserve">Les 6 testeurs</t>
  </si>
  <si>
    <t xml:space="preserve">Une seule fenêtre par visite : cookies, puis conditions (une fois, en bas), puis rien. Supprimer le doublon.</t>
  </si>
  <si>
    <t xml:space="preserve">G4</t>
  </si>
  <si>
    <t xml:space="preserve">Le joueur se retrouve dans l'éditeur du coach (« Enregistrer », outils)</t>
  </si>
  <si>
    <t xml:space="preserve">Stratégies › aperçu</t>
  </si>
  <si>
    <t xml:space="preserve">Lucas, Thomas</t>
  </si>
  <si>
    <t xml:space="preserve">Ouverture en lecture (animation) ; « Modifier » seulement pour l'auteur ou un coach ; fermer l'aperçu ramène à la liste.</t>
  </si>
  <si>
    <t xml:space="preserve">G6</t>
  </si>
  <si>
    <t xml:space="preserve">Pas de « Publier » dans l'éditeur ; le dessin s'appelle « Nouveau dessin »</t>
  </si>
  <si>
    <t xml:space="preserve">Demander le nom au 1er enregistrement ; proposer « Publier à l'équipe ? » ; libellé clair à la place de « Dans l'appli seulement ».</t>
  </si>
  <si>
    <t xml:space="preserve">G7</t>
  </si>
  <si>
    <t xml:space="preserve">Quitter l'éditeur sans enregistrer perd le dessin, sans avertissement</t>
  </si>
  <si>
    <t xml:space="preserve">« Quitter sans enregistrer ? » + brouillon automatique.</t>
  </si>
  <si>
    <t xml:space="preserve">G17</t>
  </si>
  <si>
    <t xml:space="preserve">Un joueur sans réponse est dans la compo sans alerte (écran et impression)</t>
  </si>
  <si>
    <t xml:space="preserve">« Sans réponse » à côté du nom ; avant imprimer/publier : « 1 sans réponse et 1 absent dans la compo. Les retirer ? »</t>
  </si>
  <si>
    <t xml:space="preserve">G13</t>
  </si>
  <si>
    <t xml:space="preserve">Écrans faux pendant le chargement (page publique après « Connecté », « Dernière étape » à un joueur accepté)</t>
  </si>
  <si>
    <t xml:space="preserve">Connexion, accueil</t>
  </si>
  <si>
    <t xml:space="preserve">Écran de chargement neutre tant que le compte n'est pas chargé ; bouton « Connexion… » jusqu'à l'écran suivant.</t>
  </si>
  <si>
    <t xml:space="preserve">G8</t>
  </si>
  <si>
    <t xml:space="preserve">Actions sensibles trop exposées (« Annuler l'événement » sur chaque carte, « Retirer » partout)</t>
  </si>
  <si>
    <t xml:space="preserve">Agenda, Équipe, Club, Mes jeunes</t>
  </si>
  <si>
    <t xml:space="preserve">Michel, Sandrine, Emma, Audit</t>
  </si>
  <si>
    <t xml:space="preserve">Les sortir des listes, derrière « ⋯ » dans la fiche, confirmation qui nomme la personne ou l'événement.</t>
  </si>
  <si>
    <t xml:space="preserve">G24</t>
  </si>
  <si>
    <t xml:space="preserve">Lecteur d'écran : Échap ne ferme pas la connexion, pas de titre d'écran, erreurs non annoncées, listes sans nom</t>
  </si>
  <si>
    <t xml:space="preserve">Connexion, Équipe, Agenda</t>
  </si>
  <si>
    <t xml:space="preserve">Vraie fenêtre (Échap, focus) ; titre par écran ; erreurs annoncées ; nom pour chaque liste ; balise main (≈ 460 défauts en moins).</t>
  </si>
  <si>
    <t xml:space="preserve">M23</t>
  </si>
  <si>
    <t xml:space="preserve">« À faire cette semaine – Chargement… » pendant plusieurs secondes</t>
  </si>
  <si>
    <t xml:space="preserve">Accueil</t>
  </si>
  <si>
    <t xml:space="preserve">Thomas, Lucas</t>
  </si>
  <si>
    <t xml:space="preserve">Formes grises de chargement (avec G13).</t>
  </si>
  <si>
    <t xml:space="preserve">M2</t>
  </si>
  <si>
    <t xml:space="preserve">Feuille imprimée sur téléphone : trop large, Équipe B vide imprimée</t>
  </si>
  <si>
    <t xml:space="preserve">Compos › impression</t>
  </si>
  <si>
    <t xml:space="preserve">Adapter à la largeur ; ne pas imprimer une équipe vide.</t>
  </si>
  <si>
    <t xml:space="preserve">M12</t>
  </si>
  <si>
    <t xml:space="preserve">Tableau de la politique de confidentialité coupé sur téléphone ; onglets coupés</t>
  </si>
  <si>
    <t xml:space="preserve">Confidentialité</t>
  </si>
  <si>
    <t xml:space="preserve">Emma et Karim, Audit</t>
  </si>
  <si>
    <t xml:space="preserve">Une fiche par ligne sur téléphone ; onglets sur deux lignes.</t>
  </si>
  <si>
    <t xml:space="preserve">M24</t>
  </si>
  <si>
    <t xml:space="preserve">Boutons de l'éditeur sans texte (annuler, zoom, dupliquer…)</t>
  </si>
  <si>
    <t xml:space="preserve">Petit libellé ou aide au premier appui long.</t>
  </si>
  <si>
    <t xml:space="preserve">A11y-44</t>
  </si>
  <si>
    <t xml:space="preserve">Boutons de 40 px sur téléphone (36 px ordi), filtres de 28 px</t>
  </si>
  <si>
    <t xml:space="preserve">Passer les boutons à 44 px sur téléphone, les filtres à 36 px au moins.</t>
  </si>
  <si>
    <t xml:space="preserve">M33</t>
  </si>
  <si>
    <t xml:space="preserve">Trop d'actions au même niveau (fiche événement, feuille de match)</t>
  </si>
  <si>
    <t xml:space="preserve">Audit, Michel</t>
  </si>
  <si>
    <t xml:space="preserve">Une action principale, le reste dans « ⋯ » ; encart logo refermable.</t>
  </si>
  <si>
    <t xml:space="preserve">B2</t>
  </si>
  <si>
    <t xml:space="preserve">≈ 17 s d'écran presque vide au démarrage en 3G, sans indicateur</t>
  </si>
  <si>
    <t xml:space="preserve">Ouverture de l'appli</t>
  </si>
  <si>
    <t xml:space="preserve">D'abord mesurer sur la version en ligne. Puis : écran de chargement immédiat, accueil chargé en premier, appli gardée en mémoire sur le téléphone.</t>
  </si>
  <si>
    <t xml:space="preserve">Total (h)</t>
  </si>
  <si>
    <t xml:space="preserve">À tester plus tard, avec de vrais utilisateurs (utile ou pas ? mieux ou pas ?)</t>
  </si>
  <si>
    <t xml:space="preserve">Idée de solution</t>
  </si>
  <si>
    <t xml:space="preserve">Question à vérifier avec les utilisateurs</t>
  </si>
  <si>
    <t xml:space="preserve">M10</t>
  </si>
  <si>
    <t xml:space="preserve">Carte « Séances – BIENTÔT » sur l'accueil : impression d'appli pas finie</t>
  </si>
  <si>
    <t xml:space="preserve">Sandrine, Audit</t>
  </si>
  <si>
    <t xml:space="preserve">La placer en bas, en discret (ou la retirer).</t>
  </si>
  <si>
    <t xml:space="preserve">Compter les « Ça m'intéresse » dans le back-office avant de décider.</t>
  </si>
  <si>
    <t xml:space="preserve">À tester</t>
  </si>
  <si>
    <t xml:space="preserve">M11</t>
  </si>
  <si>
    <t xml:space="preserve">« Demander à rejoindre » sans dire pour qui ; « Créer un nouveau club » montré au parent</t>
  </si>
  <si>
    <t xml:space="preserve">Équipe (parent)</t>
  </si>
  <si>
    <t xml:space="preserve">Préciser « pour Emma / pour moi » ; replier « Créer un club ».</t>
  </si>
  <si>
    <t xml:space="preserve">Observer de vrais parents : se trompent-ils d'équipe ou de personne ?</t>
  </si>
  <si>
    <t xml:space="preserve">M28</t>
  </si>
  <si>
    <t xml:space="preserve">Le visiteur voit la barre Accueil / Agenda / Stratégies / Équipe sans équipe</t>
  </si>
  <si>
    <t xml:space="preserve">Barre réduite ou « Créez un compte pour voir votre agenda ».</t>
  </si>
  <si>
    <t xml:space="preserve">Les visiteurs cliquent-ils dessus ? Cela aide-t-il à comprendre l'appli ?</t>
  </si>
  <si>
    <t xml:space="preserve">G1b</t>
  </si>
  <si>
    <t xml:space="preserve">Tutoriel imposé de 8 à 11 étapes ; notifications demandées trop tôt</t>
  </si>
  <si>
    <t xml:space="preserve">Tutoriel proposé (« Voir la visite en 1 minute ? ») ; notifications proposées après la 1re réponse à une convocation.</t>
  </si>
  <si>
    <t xml:space="preserve">Comparer le taux d'activation des notifications avant/après ; le tutoriel est-il regardé jusqu'au bout ?</t>
  </si>
  <si>
    <t xml:space="preserve">M6</t>
  </si>
  <si>
    <t xml:space="preserve">Sélecteur d'équipe pas reconnu comme tel, sans « Tout le club »</t>
  </si>
  <si>
    <t xml:space="preserve">En-tête</t>
  </si>
  <si>
    <t xml:space="preserve">Libellé « Équipe : », options « Tout le club » et « + Créer une équipe ».</t>
  </si>
  <si>
    <t xml:space="preserve">Utile seulement si la vue club (G9) est faite.</t>
  </si>
  <si>
    <t xml:space="preserve">M4</t>
  </si>
  <si>
    <t xml:space="preserve">Plein écran d'une stratégie en portrait : terrain petit</t>
  </si>
  <si>
    <t xml:space="preserve">Stratégies, page publique</t>
  </si>
  <si>
    <t xml:space="preserve">Lucas, Audit</t>
  </si>
  <si>
    <t xml:space="preserve">« Tournez votre téléphone » ou terrain vertical ; consigne plus grande.</t>
  </si>
  <si>
    <t xml:space="preserve">Les joueurs regardent-ils les stratégies en plein écran ? En portrait ou paysage ?</t>
  </si>
  <si>
    <t xml:space="preserve">M18</t>
  </si>
  <si>
    <t xml:space="preserve">Pas de trace de la course entre deux étapes</t>
  </si>
  <si>
    <t xml:space="preserve">Position précédente en pointillé léger.</t>
  </si>
  <si>
    <t xml:space="preserve">À valider avec de vrais coachs : aide ou encombre ?</t>
  </si>
  <si>
    <t xml:space="preserve">M32</t>
  </si>
  <si>
    <t xml:space="preserve">Longue liste de membres sans recherche ni filtre</t>
  </si>
  <si>
    <t xml:space="preserve">Équipe › Membres</t>
  </si>
  <si>
    <t xml:space="preserve">Liste compacte + recherche.</t>
  </si>
  <si>
    <t xml:space="preserve">Utile quand les clubs auront de grosses équipes (40+).</t>
  </si>
  <si>
    <t xml:space="preserve">G9</t>
  </si>
  <si>
    <t xml:space="preserve">La présidente n'a pas de vue d'ensemble du club</t>
  </si>
  <si>
    <t xml:space="preserve">Équipe › Club, accueil bureau</t>
  </si>
  <si>
    <t xml:space="preserve">Tableau par équipe (membres, événements 30 j, taux de réponse et de présence, dernière activité) + encadré « Le club cette semaine ».</t>
  </si>
  <si>
    <t xml:space="preserve">Les présidents s'en servent-ils ? Quels chiffres regardent-ils vraiment ? (lien avec « mesure de l'activation des clubs »)</t>
  </si>
  <si>
    <t xml:space="preserve">G10b</t>
  </si>
  <si>
    <t xml:space="preserve">La démo ne montre que la vue d'un coach, avec une seule équipe</t>
  </si>
  <si>
    <t xml:space="preserve">« Voir la démo comme coach / joueur / bureau du club », avec 2 ou 3 équipes.</t>
  </si>
  <si>
    <t xml:space="preserve">La démo fait-elle vraiment s'inscrire ? Quel rôle les visiteurs choisissent-ils ?</t>
  </si>
  <si>
    <t xml:space="preserve">M17</t>
  </si>
  <si>
    <t xml:space="preserve">La passe n'est pas animée : le ballon saute d'un joueur à l'autre</t>
  </si>
  <si>
    <t xml:space="preserve">Éditeur, aperçu</t>
  </si>
  <si>
    <t xml:space="preserve">Faire voyager le ballon le long de la flèche.</t>
  </si>
  <si>
    <t xml:space="preserve">Les coachs le demandent-ils ? Les joueurs comprennent-ils mieux ?</t>
  </si>
  <si>
    <t xml:space="preserve">À vérifier sur un vrai appareil (sans doute dû aux conditions du test, pas un vrai défaut)</t>
  </si>
  <si>
    <t xml:space="preserve">N°</t>
  </si>
  <si>
    <t xml:space="preserve">Constat</t>
  </si>
  <si>
    <t xml:space="preserve">Cause probable</t>
  </si>
  <si>
    <t xml:space="preserve">Comment vérifier</t>
  </si>
  <si>
    <t xml:space="preserve">Dates et heures au format américain (10/23/2026, 07:00 PM)</t>
  </si>
  <si>
    <t xml:space="preserve">Michel, Emma, Audit</t>
  </si>
  <si>
    <t xml:space="preserve">Champs du navigateur de test</t>
  </si>
  <si>
    <t xml:space="preserve">Ouvrir l'appli sur un vrai Android et un vrai iPhone réglés en français.</t>
  </si>
  <si>
    <t xml:space="preserve">À vérifier</t>
  </si>
  <si>
    <t xml:space="preserve">Pas de match le week-end dans les missions</t>
  </si>
  <si>
    <t xml:space="preserve">Données de test (match un lundi)</t>
  </si>
  <si>
    <t xml:space="preserve">Dans test_seed(), placer un match le samedi ou dimanche suivant.</t>
  </si>
  <si>
    <t xml:space="preserve">« Nos conditions évoluent » montré à un compte qui vient d'arriver</t>
  </si>
  <si>
    <t xml:space="preserve">Michel, Lucas, Emma</t>
  </si>
  <si>
    <t xml:space="preserve">Comptes préparés à l'avance</t>
  </si>
  <si>
    <t xml:space="preserve">Vérifier avec une vraie inscription (le doublon, lui, est un vrai problème : G1).</t>
  </si>
  <si>
    <t xml:space="preserve">Heure du match « 13h00 » au lieu de 14h00 dans l'audit</t>
  </si>
  <si>
    <t xml:space="preserve">Navigateur pas réglé sur l'heure de Paris</t>
  </si>
  <si>
    <t xml:space="preserve">Rien à faire si c'est confirmé.</t>
  </si>
  <si>
    <t xml:space="preserve">Date de publication « 02:53 »</t>
  </si>
  <si>
    <t xml:space="preserve">Heure réelle du test, la nuit</t>
  </si>
  <si>
    <t xml:space="preserve">Rien à faire.</t>
  </si>
  <si>
    <t xml:space="preserve">Bandeau « Environnement de test » qui chevauche des boutons</t>
  </si>
  <si>
    <t xml:space="preserve">Plusieurs</t>
  </si>
  <si>
    <t xml:space="preserve">N'existe pas en production</t>
  </si>
  <si>
    <t xml:space="preserve">Tutoriel « 4 / 5 » au lieu de « 11 » vu une fois</t>
  </si>
  <si>
    <t xml:space="preserve">Non reproduit</t>
  </si>
  <si>
    <t xml:space="preserve">Relancer le tutoriel en présidente et vérifier quelle visite s'affiche.</t>
  </si>
  <si>
    <t xml:space="preserve">Écart d'une heure pile sur le rendez-vous (G2)</t>
  </si>
  <si>
    <t xml:space="preserve">Donnée de test ou heure d'été/hiver ?</t>
  </si>
  <si>
    <t xml:space="preserve">Trouver la cause avant de corriger G2.</t>
  </si>
  <si>
    <t xml:space="preserve">Lenteur de 17 s au démarrage (B2)</t>
  </si>
  <si>
    <t xml:space="preserve">Mesurée en local avec 3G simulée</t>
  </si>
  <si>
    <t xml:space="preserve">Refaire la mesure sur la version en ligne (téléphone en 3G ou « réseau lent » du navigateur).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</si>
</sst>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3"/>
        <bgColor rgb="FF333300"/>
      </patternFill>
    </fill>
    <fill>
      <patternFill patternType="solid">
        <fgColor rgb="FFFDECEA"/>
        <bgColor rgb="FFFFF3E0"/>
      </patternFill>
    </fill>
    <fill>
      <patternFill patternType="solid">
        <fgColor rgb="FFE3F2E6"/>
        <bgColor rgb="FFF1F3F5"/>
      </patternFill>
    </fill>
    <fill>
      <patternFill patternType="solid">
        <fgColor rgb="FFFFF3E0"/>
        <bgColor rgb="FFFDECEA"/>
      </patternFill>
    </fill>
    <fill>
      <patternFill patternType="solid">
        <fgColor rgb="FFF1F3F5"/>
        <bgColor rgb="FFE3F2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3F5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E3F2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3F2E6"/>
      <rgbColor rgb="FF660066"/>
      <rgbColor rgb="FFFF8080"/>
      <rgbColor rgb="FF0066CC"/>
      <rgbColor rgb="FFD0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F5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customFormat="false" ht="15" hidden="false" customHeight="false" outlineLevel="0" collapsed="false">
      <c r="A5" s="4" t="s">
        <v>7</v>
      </c>
      <c r="B5" s="4" t="n">
        <f aca="false">COUNTIF('À faire maintenant'!F4:F57,"Bloquant")</f>
        <v>3</v>
      </c>
      <c r="C5" s="4" t="n">
        <f aca="false">COUNTIF('À faire maintenant'!F4:F57,"Gênant")</f>
        <v>24</v>
      </c>
      <c r="D5" s="4" t="n">
        <f aca="false">COUNTIF('À faire maintenant'!F4:F57,"Mineur")</f>
        <v>27</v>
      </c>
      <c r="E5" s="4" t="n">
        <f aca="false">SUM(B5:D5)</f>
        <v>54</v>
      </c>
      <c r="F5" s="4" t="n">
        <f aca="false">SUM('À faire maintenant'!I4:I57)</f>
        <v>85.1</v>
      </c>
    </row>
    <row r="6" customFormat="false" ht="15" hidden="false" customHeight="false" outlineLevel="0" collapsed="false">
      <c r="A6" s="4" t="s">
        <v>8</v>
      </c>
      <c r="B6" s="4" t="n">
        <f aca="false">COUNTIF('À tester plus tard'!F4:F14,"Bloquant")</f>
        <v>0</v>
      </c>
      <c r="C6" s="4" t="n">
        <f aca="false">COUNTIF('À tester plus tard'!F4:F14,"Gênant")</f>
        <v>3</v>
      </c>
      <c r="D6" s="4" t="n">
        <f aca="false">COUNTIF('À tester plus tard'!F4:F14,"Mineur")</f>
        <v>8</v>
      </c>
      <c r="E6" s="4" t="n">
        <f aca="false">SUM(B6:D6)</f>
        <v>11</v>
      </c>
      <c r="F6" s="4" t="n">
        <f aca="false">SUM('À tester plus tard'!I4:I14)</f>
        <v>38.5</v>
      </c>
    </row>
    <row r="7" customFormat="false" ht="15" hidden="false" customHeight="false" outlineLevel="0" collapsed="false">
      <c r="A7" s="4" t="s">
        <v>9</v>
      </c>
      <c r="E7" s="4" t="n">
        <f aca="false">COUNTA('À vérifier sur un vrai appareil'!B4:B12)</f>
        <v>9</v>
      </c>
    </row>
    <row r="9" customFormat="false" ht="15" hidden="false" customHeight="false" outlineLevel="0" collapsed="false">
      <c r="A9" s="5" t="s">
        <v>10</v>
      </c>
      <c r="B9" s="5" t="s">
        <v>11</v>
      </c>
      <c r="C9" s="5" t="s">
        <v>12</v>
      </c>
    </row>
    <row r="10" customFormat="false" ht="15" hidden="false" customHeight="false" outlineLevel="0" collapsed="false">
      <c r="A10" s="4" t="s">
        <v>13</v>
      </c>
      <c r="B10" s="4" t="n">
        <f aca="false">COUNTIF('À faire maintenant'!H4:H57,A10)</f>
        <v>31</v>
      </c>
      <c r="C10" s="4" t="n">
        <f aca="false">SUMIF('À faire maintenant'!H4:H57,A10,'À faire maintenant'!I4:I57)</f>
        <v>21.1</v>
      </c>
    </row>
    <row r="11" customFormat="false" ht="15" hidden="false" customHeight="false" outlineLevel="0" collapsed="false">
      <c r="A11" s="4" t="s">
        <v>14</v>
      </c>
      <c r="B11" s="4" t="n">
        <f aca="false">COUNTIF('À faire maintenant'!H4:H57,A11)</f>
        <v>22</v>
      </c>
      <c r="C11" s="4" t="n">
        <f aca="false">SUMIF('À faire maintenant'!H4:H57,A11,'À faire maintenant'!I4:I57)</f>
        <v>56</v>
      </c>
    </row>
    <row r="12" customFormat="false" ht="15" hidden="false" customHeight="false" outlineLevel="0" collapsed="false">
      <c r="A12" s="4" t="s">
        <v>15</v>
      </c>
      <c r="B12" s="4" t="n">
        <f aca="false">COUNTIF('À faire maintenant'!H4:H57,A12)</f>
        <v>1</v>
      </c>
      <c r="C12" s="4" t="n">
        <f aca="false">SUMIF('À faire maintenant'!H4:H57,A12,'À faire maintenant'!I4:I57)</f>
        <v>8</v>
      </c>
    </row>
    <row r="14" customFormat="false" ht="15" hidden="false" customHeight="false" outlineLevel="0" collapsed="false">
      <c r="A14" s="5" t="s">
        <v>16</v>
      </c>
    </row>
    <row r="15" customFormat="false" ht="15" hidden="false" customHeight="false" outlineLevel="0" collapsed="false">
      <c r="A15" s="4" t="s">
        <v>17</v>
      </c>
      <c r="B15" s="4" t="n">
        <f aca="false">COUNTIF('À faire maintenant'!J4:J57,"Fait")</f>
        <v>0</v>
      </c>
    </row>
    <row r="16" customFormat="false" ht="15" hidden="false" customHeight="false" outlineLevel="0" collapsed="false">
      <c r="A16" s="4" t="s">
        <v>18</v>
      </c>
      <c r="B16" s="6" t="n">
        <f aca="false">IFERROR(B15/E5,0)</f>
        <v>0</v>
      </c>
    </row>
    <row r="18" customFormat="false" ht="30" hidden="false" customHeight="true" outlineLevel="0" collapsed="false">
      <c r="A18" s="7" t="s">
        <v>19</v>
      </c>
      <c r="B18" s="7"/>
      <c r="C18" s="7"/>
      <c r="D18" s="7"/>
      <c r="E18" s="7"/>
      <c r="F18" s="7"/>
    </row>
    <row r="19" customFormat="false" ht="30" hidden="false" customHeight="true" outlineLevel="0" collapsed="false">
      <c r="A19" s="7" t="s">
        <v>20</v>
      </c>
      <c r="B19" s="7"/>
      <c r="C19" s="7"/>
      <c r="D19" s="7"/>
      <c r="E19" s="7"/>
      <c r="F19" s="7"/>
    </row>
  </sheetData>
  <mergeCells count="3">
    <mergeCell ref="A2:F2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21</v>
      </c>
    </row>
    <row r="3" customFormat="false" ht="35.05" hidden="false" customHeight="false" outlineLevel="0" collapsed="false">
      <c r="A3" s="8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29</v>
      </c>
      <c r="I3" s="8" t="s">
        <v>6</v>
      </c>
      <c r="J3" s="8" t="s">
        <v>30</v>
      </c>
    </row>
    <row r="4" customFormat="false" ht="35.05" hidden="false" customHeight="false" outlineLevel="0" collapsed="false">
      <c r="A4" s="9" t="n">
        <v>1</v>
      </c>
      <c r="B4" s="9" t="s">
        <v>31</v>
      </c>
      <c r="C4" s="9" t="s">
        <v>32</v>
      </c>
      <c r="D4" s="9" t="s">
        <v>33</v>
      </c>
      <c r="E4" s="9" t="s">
        <v>34</v>
      </c>
      <c r="F4" s="10" t="s">
        <v>2</v>
      </c>
      <c r="G4" s="9" t="s">
        <v>35</v>
      </c>
      <c r="H4" s="11" t="s">
        <v>13</v>
      </c>
      <c r="I4" s="9" t="n">
        <v>1.5</v>
      </c>
      <c r="J4" s="9" t="s">
        <v>36</v>
      </c>
    </row>
    <row r="5" customFormat="false" ht="23.85" hidden="false" customHeight="false" outlineLevel="0" collapsed="false">
      <c r="A5" s="9" t="n">
        <v>2</v>
      </c>
      <c r="B5" s="9" t="s">
        <v>37</v>
      </c>
      <c r="C5" s="9" t="s">
        <v>38</v>
      </c>
      <c r="D5" s="9" t="s">
        <v>39</v>
      </c>
      <c r="E5" s="9" t="s">
        <v>40</v>
      </c>
      <c r="F5" s="12" t="s">
        <v>3</v>
      </c>
      <c r="G5" s="9" t="s">
        <v>41</v>
      </c>
      <c r="H5" s="11" t="s">
        <v>13</v>
      </c>
      <c r="I5" s="9" t="n">
        <v>0.25</v>
      </c>
      <c r="J5" s="9" t="s">
        <v>36</v>
      </c>
    </row>
    <row r="6" customFormat="false" ht="23.85" hidden="false" customHeight="false" outlineLevel="0" collapsed="false">
      <c r="A6" s="9" t="n">
        <v>3</v>
      </c>
      <c r="B6" s="9" t="s">
        <v>42</v>
      </c>
      <c r="C6" s="9" t="s">
        <v>43</v>
      </c>
      <c r="D6" s="9" t="s">
        <v>44</v>
      </c>
      <c r="E6" s="9" t="s">
        <v>40</v>
      </c>
      <c r="F6" s="12" t="s">
        <v>3</v>
      </c>
      <c r="G6" s="9" t="s">
        <v>45</v>
      </c>
      <c r="H6" s="11" t="s">
        <v>13</v>
      </c>
      <c r="I6" s="9" t="n">
        <v>1</v>
      </c>
      <c r="J6" s="9" t="s">
        <v>36</v>
      </c>
    </row>
    <row r="7" customFormat="false" ht="23.85" hidden="false" customHeight="false" outlineLevel="0" collapsed="false">
      <c r="A7" s="9" t="n">
        <v>4</v>
      </c>
      <c r="B7" s="9" t="s">
        <v>46</v>
      </c>
      <c r="C7" s="9" t="s">
        <v>47</v>
      </c>
      <c r="D7" s="9" t="s">
        <v>39</v>
      </c>
      <c r="E7" s="9" t="s">
        <v>40</v>
      </c>
      <c r="F7" s="12" t="s">
        <v>3</v>
      </c>
      <c r="G7" s="9" t="s">
        <v>48</v>
      </c>
      <c r="H7" s="11" t="s">
        <v>13</v>
      </c>
      <c r="I7" s="9" t="n">
        <v>1</v>
      </c>
      <c r="J7" s="9" t="s">
        <v>36</v>
      </c>
    </row>
    <row r="8" customFormat="false" ht="23.85" hidden="false" customHeight="false" outlineLevel="0" collapsed="false">
      <c r="A8" s="9" t="n">
        <v>5</v>
      </c>
      <c r="B8" s="9" t="s">
        <v>49</v>
      </c>
      <c r="C8" s="9" t="s">
        <v>50</v>
      </c>
      <c r="D8" s="9" t="s">
        <v>51</v>
      </c>
      <c r="E8" s="9" t="s">
        <v>52</v>
      </c>
      <c r="F8" s="12" t="s">
        <v>3</v>
      </c>
      <c r="G8" s="9" t="s">
        <v>53</v>
      </c>
      <c r="H8" s="11" t="s">
        <v>13</v>
      </c>
      <c r="I8" s="9" t="n">
        <v>1</v>
      </c>
      <c r="J8" s="9" t="s">
        <v>36</v>
      </c>
    </row>
    <row r="9" customFormat="false" ht="23.85" hidden="false" customHeight="false" outlineLevel="0" collapsed="false">
      <c r="A9" s="9" t="n">
        <v>6</v>
      </c>
      <c r="B9" s="9" t="s">
        <v>54</v>
      </c>
      <c r="C9" s="9" t="s">
        <v>55</v>
      </c>
      <c r="D9" s="9" t="s">
        <v>56</v>
      </c>
      <c r="E9" s="9" t="s">
        <v>57</v>
      </c>
      <c r="F9" s="12" t="s">
        <v>3</v>
      </c>
      <c r="G9" s="9" t="s">
        <v>58</v>
      </c>
      <c r="H9" s="11" t="s">
        <v>13</v>
      </c>
      <c r="I9" s="9" t="n">
        <v>1</v>
      </c>
      <c r="J9" s="9" t="s">
        <v>36</v>
      </c>
    </row>
    <row r="10" customFormat="false" ht="23.85" hidden="false" customHeight="false" outlineLevel="0" collapsed="false">
      <c r="A10" s="9" t="n">
        <v>7</v>
      </c>
      <c r="B10" s="9" t="s">
        <v>59</v>
      </c>
      <c r="C10" s="9" t="s">
        <v>60</v>
      </c>
      <c r="D10" s="9" t="s">
        <v>61</v>
      </c>
      <c r="E10" s="9" t="s">
        <v>52</v>
      </c>
      <c r="F10" s="12" t="s">
        <v>3</v>
      </c>
      <c r="G10" s="9" t="s">
        <v>62</v>
      </c>
      <c r="H10" s="11" t="s">
        <v>13</v>
      </c>
      <c r="I10" s="9" t="n">
        <v>1</v>
      </c>
      <c r="J10" s="9" t="s">
        <v>36</v>
      </c>
    </row>
    <row r="11" customFormat="false" ht="23.85" hidden="false" customHeight="false" outlineLevel="0" collapsed="false">
      <c r="A11" s="9" t="n">
        <v>8</v>
      </c>
      <c r="B11" s="9" t="s">
        <v>63</v>
      </c>
      <c r="C11" s="9" t="s">
        <v>64</v>
      </c>
      <c r="D11" s="9" t="s">
        <v>65</v>
      </c>
      <c r="E11" s="9" t="s">
        <v>66</v>
      </c>
      <c r="F11" s="12" t="s">
        <v>3</v>
      </c>
      <c r="G11" s="9" t="s">
        <v>67</v>
      </c>
      <c r="H11" s="11" t="s">
        <v>13</v>
      </c>
      <c r="I11" s="9" t="n">
        <v>1</v>
      </c>
      <c r="J11" s="9" t="s">
        <v>36</v>
      </c>
    </row>
    <row r="12" customFormat="false" ht="23.85" hidden="false" customHeight="false" outlineLevel="0" collapsed="false">
      <c r="A12" s="9" t="n">
        <v>9</v>
      </c>
      <c r="B12" s="9" t="s">
        <v>68</v>
      </c>
      <c r="C12" s="9" t="s">
        <v>69</v>
      </c>
      <c r="D12" s="9" t="s">
        <v>70</v>
      </c>
      <c r="E12" s="9" t="s">
        <v>57</v>
      </c>
      <c r="F12" s="12" t="s">
        <v>3</v>
      </c>
      <c r="G12" s="9" t="s">
        <v>71</v>
      </c>
      <c r="H12" s="11" t="s">
        <v>13</v>
      </c>
      <c r="I12" s="9" t="n">
        <v>1.5</v>
      </c>
      <c r="J12" s="9" t="s">
        <v>36</v>
      </c>
    </row>
    <row r="13" customFormat="false" ht="23.85" hidden="false" customHeight="false" outlineLevel="0" collapsed="false">
      <c r="A13" s="9" t="n">
        <v>10</v>
      </c>
      <c r="B13" s="9" t="s">
        <v>72</v>
      </c>
      <c r="C13" s="9" t="s">
        <v>73</v>
      </c>
      <c r="D13" s="9" t="s">
        <v>74</v>
      </c>
      <c r="E13" s="9" t="s">
        <v>57</v>
      </c>
      <c r="F13" s="12" t="s">
        <v>3</v>
      </c>
      <c r="G13" s="9" t="s">
        <v>75</v>
      </c>
      <c r="H13" s="11" t="s">
        <v>13</v>
      </c>
      <c r="I13" s="9" t="n">
        <v>1.5</v>
      </c>
      <c r="J13" s="9" t="s">
        <v>36</v>
      </c>
    </row>
    <row r="14" customFormat="false" ht="23.85" hidden="false" customHeight="false" outlineLevel="0" collapsed="false">
      <c r="A14" s="9" t="n">
        <v>11</v>
      </c>
      <c r="B14" s="9" t="s">
        <v>76</v>
      </c>
      <c r="C14" s="9" t="s">
        <v>77</v>
      </c>
      <c r="D14" s="9" t="s">
        <v>78</v>
      </c>
      <c r="E14" s="9" t="s">
        <v>66</v>
      </c>
      <c r="F14" s="13" t="s">
        <v>4</v>
      </c>
      <c r="G14" s="9" t="s">
        <v>79</v>
      </c>
      <c r="H14" s="11" t="s">
        <v>13</v>
      </c>
      <c r="I14" s="9" t="n">
        <v>0.1</v>
      </c>
      <c r="J14" s="9" t="s">
        <v>36</v>
      </c>
    </row>
    <row r="15" customFormat="false" ht="15" hidden="false" customHeight="false" outlineLevel="0" collapsed="false">
      <c r="A15" s="9" t="n">
        <v>12</v>
      </c>
      <c r="B15" s="9" t="s">
        <v>80</v>
      </c>
      <c r="C15" s="9" t="s">
        <v>81</v>
      </c>
      <c r="D15" s="9" t="s">
        <v>56</v>
      </c>
      <c r="E15" s="9" t="s">
        <v>57</v>
      </c>
      <c r="F15" s="13" t="s">
        <v>4</v>
      </c>
      <c r="G15" s="9" t="s">
        <v>82</v>
      </c>
      <c r="H15" s="11" t="s">
        <v>13</v>
      </c>
      <c r="I15" s="9" t="n">
        <v>0.25</v>
      </c>
      <c r="J15" s="9" t="s">
        <v>36</v>
      </c>
    </row>
    <row r="16" customFormat="false" ht="23.85" hidden="false" customHeight="false" outlineLevel="0" collapsed="false">
      <c r="A16" s="9" t="n">
        <v>13</v>
      </c>
      <c r="B16" s="9" t="s">
        <v>83</v>
      </c>
      <c r="C16" s="9" t="s">
        <v>84</v>
      </c>
      <c r="D16" s="9" t="s">
        <v>85</v>
      </c>
      <c r="E16" s="9" t="s">
        <v>66</v>
      </c>
      <c r="F16" s="13" t="s">
        <v>4</v>
      </c>
      <c r="G16" s="9" t="s">
        <v>86</v>
      </c>
      <c r="H16" s="11" t="s">
        <v>13</v>
      </c>
      <c r="I16" s="9" t="n">
        <v>0.25</v>
      </c>
      <c r="J16" s="9" t="s">
        <v>36</v>
      </c>
    </row>
    <row r="17" customFormat="false" ht="23.85" hidden="false" customHeight="false" outlineLevel="0" collapsed="false">
      <c r="A17" s="9" t="n">
        <v>14</v>
      </c>
      <c r="B17" s="9" t="s">
        <v>87</v>
      </c>
      <c r="C17" s="9" t="s">
        <v>88</v>
      </c>
      <c r="D17" s="9" t="s">
        <v>89</v>
      </c>
      <c r="E17" s="9" t="s">
        <v>57</v>
      </c>
      <c r="F17" s="13" t="s">
        <v>4</v>
      </c>
      <c r="G17" s="9" t="s">
        <v>90</v>
      </c>
      <c r="H17" s="11" t="s">
        <v>13</v>
      </c>
      <c r="I17" s="9" t="n">
        <v>0.25</v>
      </c>
      <c r="J17" s="9" t="s">
        <v>36</v>
      </c>
    </row>
    <row r="18" customFormat="false" ht="15" hidden="false" customHeight="false" outlineLevel="0" collapsed="false">
      <c r="A18" s="9" t="n">
        <v>15</v>
      </c>
      <c r="B18" s="9" t="s">
        <v>91</v>
      </c>
      <c r="C18" s="9" t="s">
        <v>92</v>
      </c>
      <c r="D18" s="9" t="s">
        <v>93</v>
      </c>
      <c r="E18" s="9" t="s">
        <v>57</v>
      </c>
      <c r="F18" s="13" t="s">
        <v>4</v>
      </c>
      <c r="G18" s="9" t="s">
        <v>94</v>
      </c>
      <c r="H18" s="11" t="s">
        <v>13</v>
      </c>
      <c r="I18" s="9" t="n">
        <v>0.25</v>
      </c>
      <c r="J18" s="9" t="s">
        <v>36</v>
      </c>
    </row>
    <row r="19" customFormat="false" ht="15" hidden="false" customHeight="false" outlineLevel="0" collapsed="false">
      <c r="A19" s="9" t="n">
        <v>16</v>
      </c>
      <c r="B19" s="9" t="s">
        <v>95</v>
      </c>
      <c r="C19" s="9" t="s">
        <v>96</v>
      </c>
      <c r="D19" s="9" t="s">
        <v>97</v>
      </c>
      <c r="E19" s="9" t="s">
        <v>40</v>
      </c>
      <c r="F19" s="13" t="s">
        <v>4</v>
      </c>
      <c r="G19" s="9" t="s">
        <v>98</v>
      </c>
      <c r="H19" s="11" t="s">
        <v>13</v>
      </c>
      <c r="I19" s="9" t="n">
        <v>0.25</v>
      </c>
      <c r="J19" s="9" t="s">
        <v>36</v>
      </c>
    </row>
    <row r="20" customFormat="false" ht="15" hidden="false" customHeight="false" outlineLevel="0" collapsed="false">
      <c r="A20" s="9" t="n">
        <v>17</v>
      </c>
      <c r="B20" s="9" t="s">
        <v>99</v>
      </c>
      <c r="C20" s="9" t="s">
        <v>100</v>
      </c>
      <c r="D20" s="9" t="s">
        <v>101</v>
      </c>
      <c r="E20" s="9" t="s">
        <v>102</v>
      </c>
      <c r="F20" s="13" t="s">
        <v>4</v>
      </c>
      <c r="G20" s="9" t="s">
        <v>103</v>
      </c>
      <c r="H20" s="11" t="s">
        <v>13</v>
      </c>
      <c r="I20" s="9" t="n">
        <v>0.25</v>
      </c>
      <c r="J20" s="9" t="s">
        <v>36</v>
      </c>
    </row>
    <row r="21" customFormat="false" ht="15" hidden="false" customHeight="false" outlineLevel="0" collapsed="false">
      <c r="A21" s="9" t="n">
        <v>18</v>
      </c>
      <c r="B21" s="9" t="s">
        <v>104</v>
      </c>
      <c r="C21" s="9" t="s">
        <v>105</v>
      </c>
      <c r="D21" s="9" t="s">
        <v>106</v>
      </c>
      <c r="E21" s="9" t="s">
        <v>66</v>
      </c>
      <c r="F21" s="13" t="s">
        <v>4</v>
      </c>
      <c r="G21" s="9" t="s">
        <v>107</v>
      </c>
      <c r="H21" s="11" t="s">
        <v>13</v>
      </c>
      <c r="I21" s="9" t="n">
        <v>0.25</v>
      </c>
      <c r="J21" s="9" t="s">
        <v>36</v>
      </c>
    </row>
    <row r="22" customFormat="false" ht="23.85" hidden="false" customHeight="false" outlineLevel="0" collapsed="false">
      <c r="A22" s="9" t="n">
        <v>19</v>
      </c>
      <c r="B22" s="9" t="s">
        <v>108</v>
      </c>
      <c r="C22" s="9" t="s">
        <v>109</v>
      </c>
      <c r="D22" s="9" t="s">
        <v>110</v>
      </c>
      <c r="E22" s="9" t="s">
        <v>111</v>
      </c>
      <c r="F22" s="13" t="s">
        <v>4</v>
      </c>
      <c r="G22" s="9" t="s">
        <v>112</v>
      </c>
      <c r="H22" s="11" t="s">
        <v>13</v>
      </c>
      <c r="I22" s="9" t="n">
        <v>0.25</v>
      </c>
      <c r="J22" s="9" t="s">
        <v>36</v>
      </c>
    </row>
    <row r="23" customFormat="false" ht="23.85" hidden="false" customHeight="false" outlineLevel="0" collapsed="false">
      <c r="A23" s="9" t="n">
        <v>20</v>
      </c>
      <c r="B23" s="9" t="s">
        <v>113</v>
      </c>
      <c r="C23" s="9" t="s">
        <v>114</v>
      </c>
      <c r="D23" s="9" t="s">
        <v>115</v>
      </c>
      <c r="E23" s="9" t="s">
        <v>111</v>
      </c>
      <c r="F23" s="13" t="s">
        <v>4</v>
      </c>
      <c r="G23" s="9" t="s">
        <v>116</v>
      </c>
      <c r="H23" s="11" t="s">
        <v>13</v>
      </c>
      <c r="I23" s="9" t="n">
        <v>0.25</v>
      </c>
      <c r="J23" s="9" t="s">
        <v>36</v>
      </c>
    </row>
    <row r="24" customFormat="false" ht="23.85" hidden="false" customHeight="false" outlineLevel="0" collapsed="false">
      <c r="A24" s="9" t="n">
        <v>21</v>
      </c>
      <c r="B24" s="9" t="s">
        <v>117</v>
      </c>
      <c r="C24" s="9" t="s">
        <v>118</v>
      </c>
      <c r="D24" s="9" t="s">
        <v>119</v>
      </c>
      <c r="E24" s="9" t="s">
        <v>66</v>
      </c>
      <c r="F24" s="13" t="s">
        <v>4</v>
      </c>
      <c r="G24" s="9" t="s">
        <v>120</v>
      </c>
      <c r="H24" s="11" t="s">
        <v>13</v>
      </c>
      <c r="I24" s="9" t="n">
        <v>0.5</v>
      </c>
      <c r="J24" s="9" t="s">
        <v>36</v>
      </c>
    </row>
    <row r="25" customFormat="false" ht="23.85" hidden="false" customHeight="false" outlineLevel="0" collapsed="false">
      <c r="A25" s="9" t="n">
        <v>22</v>
      </c>
      <c r="B25" s="9" t="s">
        <v>121</v>
      </c>
      <c r="C25" s="9" t="s">
        <v>122</v>
      </c>
      <c r="D25" s="9" t="s">
        <v>123</v>
      </c>
      <c r="E25" s="9" t="s">
        <v>57</v>
      </c>
      <c r="F25" s="13" t="s">
        <v>4</v>
      </c>
      <c r="G25" s="9" t="s">
        <v>124</v>
      </c>
      <c r="H25" s="11" t="s">
        <v>13</v>
      </c>
      <c r="I25" s="9" t="n">
        <v>0.5</v>
      </c>
      <c r="J25" s="9" t="s">
        <v>36</v>
      </c>
    </row>
    <row r="26" customFormat="false" ht="23.85" hidden="false" customHeight="false" outlineLevel="0" collapsed="false">
      <c r="A26" s="9" t="n">
        <v>23</v>
      </c>
      <c r="B26" s="9" t="s">
        <v>125</v>
      </c>
      <c r="C26" s="9" t="s">
        <v>126</v>
      </c>
      <c r="D26" s="9" t="s">
        <v>127</v>
      </c>
      <c r="E26" s="9" t="s">
        <v>57</v>
      </c>
      <c r="F26" s="13" t="s">
        <v>4</v>
      </c>
      <c r="G26" s="9" t="s">
        <v>128</v>
      </c>
      <c r="H26" s="11" t="s">
        <v>13</v>
      </c>
      <c r="I26" s="9" t="n">
        <v>0.5</v>
      </c>
      <c r="J26" s="9" t="s">
        <v>36</v>
      </c>
    </row>
    <row r="27" customFormat="false" ht="15" hidden="false" customHeight="false" outlineLevel="0" collapsed="false">
      <c r="A27" s="9" t="n">
        <v>24</v>
      </c>
      <c r="B27" s="9" t="s">
        <v>129</v>
      </c>
      <c r="C27" s="9" t="s">
        <v>130</v>
      </c>
      <c r="D27" s="9" t="s">
        <v>131</v>
      </c>
      <c r="E27" s="9" t="s">
        <v>66</v>
      </c>
      <c r="F27" s="13" t="s">
        <v>4</v>
      </c>
      <c r="G27" s="9" t="s">
        <v>132</v>
      </c>
      <c r="H27" s="11" t="s">
        <v>13</v>
      </c>
      <c r="I27" s="9" t="n">
        <v>0.5</v>
      </c>
      <c r="J27" s="9" t="s">
        <v>36</v>
      </c>
    </row>
    <row r="28" customFormat="false" ht="23.85" hidden="false" customHeight="false" outlineLevel="0" collapsed="false">
      <c r="A28" s="9" t="n">
        <v>25</v>
      </c>
      <c r="B28" s="9" t="s">
        <v>133</v>
      </c>
      <c r="C28" s="9" t="s">
        <v>134</v>
      </c>
      <c r="D28" s="9" t="s">
        <v>135</v>
      </c>
      <c r="E28" s="9" t="s">
        <v>102</v>
      </c>
      <c r="F28" s="13" t="s">
        <v>4</v>
      </c>
      <c r="G28" s="9" t="s">
        <v>136</v>
      </c>
      <c r="H28" s="11" t="s">
        <v>13</v>
      </c>
      <c r="I28" s="9" t="n">
        <v>0.5</v>
      </c>
      <c r="J28" s="9" t="s">
        <v>36</v>
      </c>
    </row>
    <row r="29" customFormat="false" ht="15" hidden="false" customHeight="false" outlineLevel="0" collapsed="false">
      <c r="A29" s="9" t="n">
        <v>26</v>
      </c>
      <c r="B29" s="9" t="s">
        <v>137</v>
      </c>
      <c r="C29" s="9" t="s">
        <v>138</v>
      </c>
      <c r="D29" s="9" t="s">
        <v>139</v>
      </c>
      <c r="E29" s="9" t="s">
        <v>140</v>
      </c>
      <c r="F29" s="13" t="s">
        <v>4</v>
      </c>
      <c r="G29" s="9" t="s">
        <v>141</v>
      </c>
      <c r="H29" s="11" t="s">
        <v>13</v>
      </c>
      <c r="I29" s="9" t="n">
        <v>0.5</v>
      </c>
      <c r="J29" s="9" t="s">
        <v>36</v>
      </c>
    </row>
    <row r="30" customFormat="false" ht="23.85" hidden="false" customHeight="false" outlineLevel="0" collapsed="false">
      <c r="A30" s="9" t="n">
        <v>27</v>
      </c>
      <c r="B30" s="9" t="s">
        <v>142</v>
      </c>
      <c r="C30" s="9" t="s">
        <v>143</v>
      </c>
      <c r="D30" s="9" t="s">
        <v>115</v>
      </c>
      <c r="E30" s="9" t="s">
        <v>111</v>
      </c>
      <c r="F30" s="13" t="s">
        <v>4</v>
      </c>
      <c r="G30" s="9" t="s">
        <v>144</v>
      </c>
      <c r="H30" s="11" t="s">
        <v>13</v>
      </c>
      <c r="I30" s="9" t="n">
        <v>1</v>
      </c>
      <c r="J30" s="9" t="s">
        <v>36</v>
      </c>
    </row>
    <row r="31" customFormat="false" ht="23.85" hidden="false" customHeight="false" outlineLevel="0" collapsed="false">
      <c r="A31" s="9" t="n">
        <v>28</v>
      </c>
      <c r="B31" s="9" t="s">
        <v>145</v>
      </c>
      <c r="C31" s="9" t="s">
        <v>146</v>
      </c>
      <c r="D31" s="9" t="s">
        <v>131</v>
      </c>
      <c r="E31" s="9" t="s">
        <v>102</v>
      </c>
      <c r="F31" s="13" t="s">
        <v>4</v>
      </c>
      <c r="G31" s="9" t="s">
        <v>147</v>
      </c>
      <c r="H31" s="11" t="s">
        <v>13</v>
      </c>
      <c r="I31" s="9" t="n">
        <v>1</v>
      </c>
      <c r="J31" s="9" t="s">
        <v>36</v>
      </c>
    </row>
    <row r="32" customFormat="false" ht="15" hidden="false" customHeight="false" outlineLevel="0" collapsed="false">
      <c r="A32" s="9" t="n">
        <v>29</v>
      </c>
      <c r="B32" s="9" t="s">
        <v>148</v>
      </c>
      <c r="C32" s="9" t="s">
        <v>149</v>
      </c>
      <c r="D32" s="9" t="s">
        <v>150</v>
      </c>
      <c r="E32" s="9" t="s">
        <v>111</v>
      </c>
      <c r="F32" s="13" t="s">
        <v>4</v>
      </c>
      <c r="G32" s="9" t="s">
        <v>151</v>
      </c>
      <c r="H32" s="11" t="s">
        <v>13</v>
      </c>
      <c r="I32" s="9" t="n">
        <v>1</v>
      </c>
      <c r="J32" s="9" t="s">
        <v>36</v>
      </c>
    </row>
    <row r="33" customFormat="false" ht="23.85" hidden="false" customHeight="false" outlineLevel="0" collapsed="false">
      <c r="A33" s="9" t="n">
        <v>30</v>
      </c>
      <c r="B33" s="9" t="s">
        <v>152</v>
      </c>
      <c r="C33" s="9" t="s">
        <v>153</v>
      </c>
      <c r="D33" s="9" t="s">
        <v>65</v>
      </c>
      <c r="E33" s="9" t="s">
        <v>154</v>
      </c>
      <c r="F33" s="13" t="s">
        <v>4</v>
      </c>
      <c r="G33" s="9" t="s">
        <v>155</v>
      </c>
      <c r="H33" s="11" t="s">
        <v>13</v>
      </c>
      <c r="I33" s="9" t="n">
        <v>1</v>
      </c>
      <c r="J33" s="9" t="s">
        <v>36</v>
      </c>
    </row>
    <row r="34" customFormat="false" ht="23.85" hidden="false" customHeight="false" outlineLevel="0" collapsed="false">
      <c r="A34" s="9" t="n">
        <v>31</v>
      </c>
      <c r="B34" s="9" t="s">
        <v>156</v>
      </c>
      <c r="C34" s="9" t="s">
        <v>157</v>
      </c>
      <c r="D34" s="9" t="s">
        <v>135</v>
      </c>
      <c r="E34" s="9" t="s">
        <v>158</v>
      </c>
      <c r="F34" s="13" t="s">
        <v>4</v>
      </c>
      <c r="G34" s="9" t="s">
        <v>159</v>
      </c>
      <c r="H34" s="11" t="s">
        <v>13</v>
      </c>
      <c r="I34" s="9" t="n">
        <v>1</v>
      </c>
      <c r="J34" s="9" t="s">
        <v>36</v>
      </c>
    </row>
    <row r="35" customFormat="false" ht="23.85" hidden="false" customHeight="false" outlineLevel="0" collapsed="false">
      <c r="A35" s="9" t="n">
        <v>32</v>
      </c>
      <c r="B35" s="9" t="s">
        <v>160</v>
      </c>
      <c r="C35" s="9" t="s">
        <v>161</v>
      </c>
      <c r="D35" s="9" t="s">
        <v>162</v>
      </c>
      <c r="E35" s="9" t="s">
        <v>66</v>
      </c>
      <c r="F35" s="10" t="s">
        <v>2</v>
      </c>
      <c r="G35" s="9" t="s">
        <v>163</v>
      </c>
      <c r="H35" s="12" t="s">
        <v>14</v>
      </c>
      <c r="I35" s="9" t="n">
        <v>3</v>
      </c>
      <c r="J35" s="9" t="s">
        <v>36</v>
      </c>
    </row>
    <row r="36" customFormat="false" ht="23.85" hidden="false" customHeight="false" outlineLevel="0" collapsed="false">
      <c r="A36" s="9" t="n">
        <v>33</v>
      </c>
      <c r="B36" s="9" t="s">
        <v>164</v>
      </c>
      <c r="C36" s="9" t="s">
        <v>165</v>
      </c>
      <c r="D36" s="9" t="s">
        <v>166</v>
      </c>
      <c r="E36" s="9" t="s">
        <v>167</v>
      </c>
      <c r="F36" s="12" t="s">
        <v>3</v>
      </c>
      <c r="G36" s="9" t="s">
        <v>168</v>
      </c>
      <c r="H36" s="12" t="s">
        <v>14</v>
      </c>
      <c r="I36" s="9" t="n">
        <v>2</v>
      </c>
      <c r="J36" s="9" t="s">
        <v>36</v>
      </c>
    </row>
    <row r="37" customFormat="false" ht="23.85" hidden="false" customHeight="false" outlineLevel="0" collapsed="false">
      <c r="A37" s="9" t="n">
        <v>34</v>
      </c>
      <c r="B37" s="9" t="s">
        <v>169</v>
      </c>
      <c r="C37" s="9" t="s">
        <v>170</v>
      </c>
      <c r="D37" s="9" t="s">
        <v>135</v>
      </c>
      <c r="E37" s="9" t="s">
        <v>102</v>
      </c>
      <c r="F37" s="12" t="s">
        <v>3</v>
      </c>
      <c r="G37" s="9" t="s">
        <v>171</v>
      </c>
      <c r="H37" s="12" t="s">
        <v>14</v>
      </c>
      <c r="I37" s="9" t="n">
        <v>2</v>
      </c>
      <c r="J37" s="9" t="s">
        <v>36</v>
      </c>
    </row>
    <row r="38" customFormat="false" ht="23.85" hidden="false" customHeight="false" outlineLevel="0" collapsed="false">
      <c r="A38" s="9" t="n">
        <v>35</v>
      </c>
      <c r="B38" s="9" t="s">
        <v>172</v>
      </c>
      <c r="C38" s="9" t="s">
        <v>173</v>
      </c>
      <c r="D38" s="9" t="s">
        <v>135</v>
      </c>
      <c r="E38" s="9" t="s">
        <v>102</v>
      </c>
      <c r="F38" s="12" t="s">
        <v>3</v>
      </c>
      <c r="G38" s="9" t="s">
        <v>174</v>
      </c>
      <c r="H38" s="12" t="s">
        <v>14</v>
      </c>
      <c r="I38" s="9" t="n">
        <v>2</v>
      </c>
      <c r="J38" s="9" t="s">
        <v>36</v>
      </c>
    </row>
    <row r="39" customFormat="false" ht="23.85" hidden="false" customHeight="false" outlineLevel="0" collapsed="false">
      <c r="A39" s="9" t="n">
        <v>36</v>
      </c>
      <c r="B39" s="9" t="s">
        <v>175</v>
      </c>
      <c r="C39" s="9" t="s">
        <v>176</v>
      </c>
      <c r="D39" s="9" t="s">
        <v>177</v>
      </c>
      <c r="E39" s="9" t="s">
        <v>178</v>
      </c>
      <c r="F39" s="12" t="s">
        <v>3</v>
      </c>
      <c r="G39" s="9" t="s">
        <v>179</v>
      </c>
      <c r="H39" s="12" t="s">
        <v>14</v>
      </c>
      <c r="I39" s="9" t="n">
        <v>2</v>
      </c>
      <c r="J39" s="9" t="s">
        <v>36</v>
      </c>
    </row>
    <row r="40" customFormat="false" ht="23.85" hidden="false" customHeight="false" outlineLevel="0" collapsed="false">
      <c r="A40" s="9" t="n">
        <v>37</v>
      </c>
      <c r="B40" s="9" t="s">
        <v>180</v>
      </c>
      <c r="C40" s="9" t="s">
        <v>181</v>
      </c>
      <c r="D40" s="9" t="s">
        <v>182</v>
      </c>
      <c r="E40" s="9" t="s">
        <v>183</v>
      </c>
      <c r="F40" s="12" t="s">
        <v>3</v>
      </c>
      <c r="G40" s="9" t="s">
        <v>184</v>
      </c>
      <c r="H40" s="12" t="s">
        <v>14</v>
      </c>
      <c r="I40" s="9" t="n">
        <v>2</v>
      </c>
      <c r="J40" s="9" t="s">
        <v>36</v>
      </c>
    </row>
    <row r="41" customFormat="false" ht="23.85" hidden="false" customHeight="false" outlineLevel="0" collapsed="false">
      <c r="A41" s="9" t="n">
        <v>38</v>
      </c>
      <c r="B41" s="9" t="s">
        <v>185</v>
      </c>
      <c r="C41" s="9" t="s">
        <v>186</v>
      </c>
      <c r="D41" s="9" t="s">
        <v>187</v>
      </c>
      <c r="E41" s="9" t="s">
        <v>111</v>
      </c>
      <c r="F41" s="12" t="s">
        <v>3</v>
      </c>
      <c r="G41" s="9" t="s">
        <v>188</v>
      </c>
      <c r="H41" s="12" t="s">
        <v>14</v>
      </c>
      <c r="I41" s="9" t="n">
        <v>2</v>
      </c>
      <c r="J41" s="9" t="s">
        <v>36</v>
      </c>
    </row>
    <row r="42" customFormat="false" ht="23.85" hidden="false" customHeight="false" outlineLevel="0" collapsed="false">
      <c r="A42" s="9" t="n">
        <v>39</v>
      </c>
      <c r="B42" s="9" t="s">
        <v>189</v>
      </c>
      <c r="C42" s="9" t="s">
        <v>190</v>
      </c>
      <c r="D42" s="9" t="s">
        <v>39</v>
      </c>
      <c r="E42" s="9" t="s">
        <v>40</v>
      </c>
      <c r="F42" s="12" t="s">
        <v>3</v>
      </c>
      <c r="G42" s="9" t="s">
        <v>191</v>
      </c>
      <c r="H42" s="12" t="s">
        <v>14</v>
      </c>
      <c r="I42" s="9" t="n">
        <v>2</v>
      </c>
      <c r="J42" s="9" t="s">
        <v>36</v>
      </c>
    </row>
    <row r="43" customFormat="false" ht="23.85" hidden="false" customHeight="false" outlineLevel="0" collapsed="false">
      <c r="A43" s="9" t="n">
        <v>40</v>
      </c>
      <c r="B43" s="9" t="s">
        <v>192</v>
      </c>
      <c r="C43" s="9" t="s">
        <v>193</v>
      </c>
      <c r="D43" s="9" t="s">
        <v>194</v>
      </c>
      <c r="E43" s="9" t="s">
        <v>195</v>
      </c>
      <c r="F43" s="12" t="s">
        <v>3</v>
      </c>
      <c r="G43" s="9" t="s">
        <v>196</v>
      </c>
      <c r="H43" s="12" t="s">
        <v>14</v>
      </c>
      <c r="I43" s="9" t="n">
        <v>3</v>
      </c>
      <c r="J43" s="9" t="s">
        <v>36</v>
      </c>
    </row>
    <row r="44" customFormat="false" ht="23.85" hidden="false" customHeight="false" outlineLevel="0" collapsed="false">
      <c r="A44" s="9" t="n">
        <v>41</v>
      </c>
      <c r="B44" s="9" t="s">
        <v>197</v>
      </c>
      <c r="C44" s="9" t="s">
        <v>198</v>
      </c>
      <c r="D44" s="9" t="s">
        <v>199</v>
      </c>
      <c r="E44" s="9" t="s">
        <v>200</v>
      </c>
      <c r="F44" s="12" t="s">
        <v>3</v>
      </c>
      <c r="G44" s="9" t="s">
        <v>201</v>
      </c>
      <c r="H44" s="12" t="s">
        <v>14</v>
      </c>
      <c r="I44" s="9" t="n">
        <v>3</v>
      </c>
      <c r="J44" s="9" t="s">
        <v>36</v>
      </c>
    </row>
    <row r="45" customFormat="false" ht="23.85" hidden="false" customHeight="false" outlineLevel="0" collapsed="false">
      <c r="A45" s="9" t="n">
        <v>42</v>
      </c>
      <c r="B45" s="9" t="s">
        <v>202</v>
      </c>
      <c r="C45" s="9" t="s">
        <v>203</v>
      </c>
      <c r="D45" s="9" t="s">
        <v>135</v>
      </c>
      <c r="E45" s="9" t="s">
        <v>102</v>
      </c>
      <c r="F45" s="12" t="s">
        <v>3</v>
      </c>
      <c r="G45" s="9" t="s">
        <v>204</v>
      </c>
      <c r="H45" s="12" t="s">
        <v>14</v>
      </c>
      <c r="I45" s="9" t="n">
        <v>3</v>
      </c>
      <c r="J45" s="9" t="s">
        <v>36</v>
      </c>
    </row>
    <row r="46" customFormat="false" ht="23.85" hidden="false" customHeight="false" outlineLevel="0" collapsed="false">
      <c r="A46" s="9" t="n">
        <v>43</v>
      </c>
      <c r="B46" s="9" t="s">
        <v>205</v>
      </c>
      <c r="C46" s="9" t="s">
        <v>206</v>
      </c>
      <c r="D46" s="9" t="s">
        <v>135</v>
      </c>
      <c r="E46" s="9" t="s">
        <v>102</v>
      </c>
      <c r="F46" s="12" t="s">
        <v>3</v>
      </c>
      <c r="G46" s="9" t="s">
        <v>207</v>
      </c>
      <c r="H46" s="12" t="s">
        <v>14</v>
      </c>
      <c r="I46" s="9" t="n">
        <v>3</v>
      </c>
      <c r="J46" s="9" t="s">
        <v>36</v>
      </c>
    </row>
    <row r="47" customFormat="false" ht="23.85" hidden="false" customHeight="false" outlineLevel="0" collapsed="false">
      <c r="A47" s="9" t="n">
        <v>44</v>
      </c>
      <c r="B47" s="9" t="s">
        <v>208</v>
      </c>
      <c r="C47" s="9" t="s">
        <v>209</v>
      </c>
      <c r="D47" s="9" t="s">
        <v>106</v>
      </c>
      <c r="E47" s="9" t="s">
        <v>40</v>
      </c>
      <c r="F47" s="12" t="s">
        <v>3</v>
      </c>
      <c r="G47" s="9" t="s">
        <v>210</v>
      </c>
      <c r="H47" s="12" t="s">
        <v>14</v>
      </c>
      <c r="I47" s="9" t="n">
        <v>3</v>
      </c>
      <c r="J47" s="9" t="s">
        <v>36</v>
      </c>
    </row>
    <row r="48" customFormat="false" ht="23.85" hidden="false" customHeight="false" outlineLevel="0" collapsed="false">
      <c r="A48" s="9" t="n">
        <v>45</v>
      </c>
      <c r="B48" s="9" t="s">
        <v>211</v>
      </c>
      <c r="C48" s="9" t="s">
        <v>212</v>
      </c>
      <c r="D48" s="9" t="s">
        <v>213</v>
      </c>
      <c r="E48" s="9" t="s">
        <v>52</v>
      </c>
      <c r="F48" s="12" t="s">
        <v>3</v>
      </c>
      <c r="G48" s="9" t="s">
        <v>214</v>
      </c>
      <c r="H48" s="12" t="s">
        <v>14</v>
      </c>
      <c r="I48" s="9" t="n">
        <v>3</v>
      </c>
      <c r="J48" s="9" t="s">
        <v>36</v>
      </c>
    </row>
    <row r="49" customFormat="false" ht="23.85" hidden="false" customHeight="false" outlineLevel="0" collapsed="false">
      <c r="A49" s="9" t="n">
        <v>46</v>
      </c>
      <c r="B49" s="9" t="s">
        <v>215</v>
      </c>
      <c r="C49" s="9" t="s">
        <v>216</v>
      </c>
      <c r="D49" s="9" t="s">
        <v>217</v>
      </c>
      <c r="E49" s="9" t="s">
        <v>218</v>
      </c>
      <c r="F49" s="12" t="s">
        <v>3</v>
      </c>
      <c r="G49" s="9" t="s">
        <v>219</v>
      </c>
      <c r="H49" s="12" t="s">
        <v>14</v>
      </c>
      <c r="I49" s="9" t="n">
        <v>4</v>
      </c>
      <c r="J49" s="9" t="s">
        <v>36</v>
      </c>
    </row>
    <row r="50" customFormat="false" ht="23.85" hidden="false" customHeight="false" outlineLevel="0" collapsed="false">
      <c r="A50" s="9" t="n">
        <v>47</v>
      </c>
      <c r="B50" s="9" t="s">
        <v>220</v>
      </c>
      <c r="C50" s="9" t="s">
        <v>221</v>
      </c>
      <c r="D50" s="9" t="s">
        <v>222</v>
      </c>
      <c r="E50" s="9" t="s">
        <v>66</v>
      </c>
      <c r="F50" s="12" t="s">
        <v>3</v>
      </c>
      <c r="G50" s="9" t="s">
        <v>223</v>
      </c>
      <c r="H50" s="12" t="s">
        <v>14</v>
      </c>
      <c r="I50" s="9" t="n">
        <v>4</v>
      </c>
      <c r="J50" s="9" t="s">
        <v>36</v>
      </c>
    </row>
    <row r="51" customFormat="false" ht="23.85" hidden="false" customHeight="false" outlineLevel="0" collapsed="false">
      <c r="A51" s="9" t="n">
        <v>48</v>
      </c>
      <c r="B51" s="9" t="s">
        <v>224</v>
      </c>
      <c r="C51" s="9" t="s">
        <v>225</v>
      </c>
      <c r="D51" s="9" t="s">
        <v>226</v>
      </c>
      <c r="E51" s="9" t="s">
        <v>227</v>
      </c>
      <c r="F51" s="13" t="s">
        <v>4</v>
      </c>
      <c r="G51" s="9" t="s">
        <v>228</v>
      </c>
      <c r="H51" s="12" t="s">
        <v>14</v>
      </c>
      <c r="I51" s="9" t="n">
        <v>2</v>
      </c>
      <c r="J51" s="9" t="s">
        <v>36</v>
      </c>
    </row>
    <row r="52" customFormat="false" ht="23.85" hidden="false" customHeight="false" outlineLevel="0" collapsed="false">
      <c r="A52" s="9" t="n">
        <v>49</v>
      </c>
      <c r="B52" s="9" t="s">
        <v>229</v>
      </c>
      <c r="C52" s="9" t="s">
        <v>230</v>
      </c>
      <c r="D52" s="9" t="s">
        <v>231</v>
      </c>
      <c r="E52" s="9" t="s">
        <v>167</v>
      </c>
      <c r="F52" s="13" t="s">
        <v>4</v>
      </c>
      <c r="G52" s="9" t="s">
        <v>232</v>
      </c>
      <c r="H52" s="12" t="s">
        <v>14</v>
      </c>
      <c r="I52" s="9" t="n">
        <v>2</v>
      </c>
      <c r="J52" s="9" t="s">
        <v>36</v>
      </c>
    </row>
    <row r="53" customFormat="false" ht="23.85" hidden="false" customHeight="false" outlineLevel="0" collapsed="false">
      <c r="A53" s="9" t="n">
        <v>50</v>
      </c>
      <c r="B53" s="9" t="s">
        <v>233</v>
      </c>
      <c r="C53" s="9" t="s">
        <v>234</v>
      </c>
      <c r="D53" s="9" t="s">
        <v>235</v>
      </c>
      <c r="E53" s="9" t="s">
        <v>236</v>
      </c>
      <c r="F53" s="13" t="s">
        <v>4</v>
      </c>
      <c r="G53" s="9" t="s">
        <v>237</v>
      </c>
      <c r="H53" s="12" t="s">
        <v>14</v>
      </c>
      <c r="I53" s="9" t="n">
        <v>2</v>
      </c>
      <c r="J53" s="9" t="s">
        <v>36</v>
      </c>
    </row>
    <row r="54" customFormat="false" ht="23.85" hidden="false" customHeight="false" outlineLevel="0" collapsed="false">
      <c r="A54" s="9" t="n">
        <v>51</v>
      </c>
      <c r="B54" s="9" t="s">
        <v>238</v>
      </c>
      <c r="C54" s="9" t="s">
        <v>239</v>
      </c>
      <c r="D54" s="9" t="s">
        <v>135</v>
      </c>
      <c r="E54" s="9" t="s">
        <v>66</v>
      </c>
      <c r="F54" s="13" t="s">
        <v>4</v>
      </c>
      <c r="G54" s="9" t="s">
        <v>240</v>
      </c>
      <c r="H54" s="12" t="s">
        <v>14</v>
      </c>
      <c r="I54" s="9" t="n">
        <v>2</v>
      </c>
      <c r="J54" s="9" t="s">
        <v>36</v>
      </c>
    </row>
    <row r="55" customFormat="false" ht="23.85" hidden="false" customHeight="false" outlineLevel="0" collapsed="false">
      <c r="A55" s="9" t="n">
        <v>52</v>
      </c>
      <c r="B55" s="9" t="s">
        <v>241</v>
      </c>
      <c r="C55" s="9" t="s">
        <v>242</v>
      </c>
      <c r="D55" s="9" t="s">
        <v>65</v>
      </c>
      <c r="E55" s="9" t="s">
        <v>66</v>
      </c>
      <c r="F55" s="13" t="s">
        <v>4</v>
      </c>
      <c r="G55" s="9" t="s">
        <v>243</v>
      </c>
      <c r="H55" s="12" t="s">
        <v>14</v>
      </c>
      <c r="I55" s="9" t="n">
        <v>2</v>
      </c>
      <c r="J55" s="9" t="s">
        <v>36</v>
      </c>
    </row>
    <row r="56" customFormat="false" ht="23.85" hidden="false" customHeight="false" outlineLevel="0" collapsed="false">
      <c r="A56" s="9" t="n">
        <v>53</v>
      </c>
      <c r="B56" s="9" t="s">
        <v>244</v>
      </c>
      <c r="C56" s="9" t="s">
        <v>245</v>
      </c>
      <c r="D56" s="9" t="s">
        <v>177</v>
      </c>
      <c r="E56" s="9" t="s">
        <v>246</v>
      </c>
      <c r="F56" s="13" t="s">
        <v>4</v>
      </c>
      <c r="G56" s="9" t="s">
        <v>247</v>
      </c>
      <c r="H56" s="12" t="s">
        <v>14</v>
      </c>
      <c r="I56" s="9" t="n">
        <v>3</v>
      </c>
      <c r="J56" s="9" t="s">
        <v>36</v>
      </c>
    </row>
    <row r="57" customFormat="false" ht="35.05" hidden="false" customHeight="false" outlineLevel="0" collapsed="false">
      <c r="A57" s="9" t="n">
        <v>54</v>
      </c>
      <c r="B57" s="9" t="s">
        <v>248</v>
      </c>
      <c r="C57" s="9" t="s">
        <v>249</v>
      </c>
      <c r="D57" s="9" t="s">
        <v>250</v>
      </c>
      <c r="E57" s="9" t="s">
        <v>52</v>
      </c>
      <c r="F57" s="10" t="s">
        <v>2</v>
      </c>
      <c r="G57" s="9" t="s">
        <v>251</v>
      </c>
      <c r="H57" s="10" t="s">
        <v>15</v>
      </c>
      <c r="I57" s="9" t="n">
        <v>8</v>
      </c>
      <c r="J57" s="9" t="s">
        <v>36</v>
      </c>
    </row>
    <row r="59" customFormat="false" ht="15" hidden="false" customHeight="false" outlineLevel="0" collapsed="false">
      <c r="H59" s="5" t="s">
        <v>252</v>
      </c>
      <c r="I59" s="5" t="n">
        <f aca="false">SUM(I4:I57)</f>
        <v>85.1</v>
      </c>
    </row>
  </sheetData>
  <autoFilter ref="A3:J57"/>
  <dataValidations count="1">
    <dataValidation allowBlank="true" errorStyle="stop" operator="between" showDropDown="false" showErrorMessage="false" showInputMessage="false" sqref="J4:J57" type="list">
      <formula1>"À faire,En cours,Fait,Abandonné"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45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45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253</v>
      </c>
    </row>
    <row r="3" customFormat="false" ht="35.05" hidden="false" customHeight="false" outlineLevel="0" collapsed="false">
      <c r="A3" s="8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254</v>
      </c>
      <c r="H3" s="8" t="s">
        <v>29</v>
      </c>
      <c r="I3" s="8" t="s">
        <v>6</v>
      </c>
      <c r="J3" s="8" t="s">
        <v>255</v>
      </c>
      <c r="K3" s="8" t="s">
        <v>30</v>
      </c>
    </row>
    <row r="4" customFormat="false" ht="23.85" hidden="false" customHeight="false" outlineLevel="0" collapsed="false">
      <c r="A4" s="9" t="n">
        <v>1</v>
      </c>
      <c r="B4" s="9" t="s">
        <v>256</v>
      </c>
      <c r="C4" s="9" t="s">
        <v>257</v>
      </c>
      <c r="D4" s="9" t="s">
        <v>226</v>
      </c>
      <c r="E4" s="9" t="s">
        <v>258</v>
      </c>
      <c r="F4" s="13" t="s">
        <v>4</v>
      </c>
      <c r="G4" s="9" t="s">
        <v>259</v>
      </c>
      <c r="H4" s="11" t="s">
        <v>13</v>
      </c>
      <c r="I4" s="9" t="n">
        <v>0.5</v>
      </c>
      <c r="J4" s="9" t="s">
        <v>260</v>
      </c>
      <c r="K4" s="9" t="s">
        <v>261</v>
      </c>
    </row>
    <row r="5" customFormat="false" ht="23.85" hidden="false" customHeight="false" outlineLevel="0" collapsed="false">
      <c r="A5" s="9" t="n">
        <v>2</v>
      </c>
      <c r="B5" s="9" t="s">
        <v>262</v>
      </c>
      <c r="C5" s="9" t="s">
        <v>263</v>
      </c>
      <c r="D5" s="9" t="s">
        <v>264</v>
      </c>
      <c r="E5" s="9" t="s">
        <v>57</v>
      </c>
      <c r="F5" s="13" t="s">
        <v>4</v>
      </c>
      <c r="G5" s="9" t="s">
        <v>265</v>
      </c>
      <c r="H5" s="11" t="s">
        <v>13</v>
      </c>
      <c r="I5" s="9" t="n">
        <v>1</v>
      </c>
      <c r="J5" s="9" t="s">
        <v>266</v>
      </c>
      <c r="K5" s="9" t="s">
        <v>261</v>
      </c>
    </row>
    <row r="6" customFormat="false" ht="23.85" hidden="false" customHeight="false" outlineLevel="0" collapsed="false">
      <c r="A6" s="9" t="n">
        <v>3</v>
      </c>
      <c r="B6" s="9" t="s">
        <v>267</v>
      </c>
      <c r="C6" s="9" t="s">
        <v>268</v>
      </c>
      <c r="D6" s="9" t="s">
        <v>110</v>
      </c>
      <c r="E6" s="9" t="s">
        <v>66</v>
      </c>
      <c r="F6" s="13" t="s">
        <v>4</v>
      </c>
      <c r="G6" s="9" t="s">
        <v>269</v>
      </c>
      <c r="H6" s="11" t="s">
        <v>13</v>
      </c>
      <c r="I6" s="9" t="n">
        <v>1</v>
      </c>
      <c r="J6" s="9" t="s">
        <v>270</v>
      </c>
      <c r="K6" s="9" t="s">
        <v>261</v>
      </c>
    </row>
    <row r="7" customFormat="false" ht="35.05" hidden="false" customHeight="false" outlineLevel="0" collapsed="false">
      <c r="A7" s="9" t="n">
        <v>4</v>
      </c>
      <c r="B7" s="9" t="s">
        <v>271</v>
      </c>
      <c r="C7" s="9" t="s">
        <v>272</v>
      </c>
      <c r="D7" s="9" t="s">
        <v>194</v>
      </c>
      <c r="E7" s="9" t="s">
        <v>195</v>
      </c>
      <c r="F7" s="12" t="s">
        <v>3</v>
      </c>
      <c r="G7" s="9" t="s">
        <v>273</v>
      </c>
      <c r="H7" s="12" t="s">
        <v>14</v>
      </c>
      <c r="I7" s="9" t="n">
        <v>3</v>
      </c>
      <c r="J7" s="9" t="s">
        <v>274</v>
      </c>
      <c r="K7" s="9" t="s">
        <v>261</v>
      </c>
    </row>
    <row r="8" customFormat="false" ht="23.85" hidden="false" customHeight="false" outlineLevel="0" collapsed="false">
      <c r="A8" s="9" t="n">
        <v>5</v>
      </c>
      <c r="B8" s="9" t="s">
        <v>275</v>
      </c>
      <c r="C8" s="9" t="s">
        <v>276</v>
      </c>
      <c r="D8" s="9" t="s">
        <v>277</v>
      </c>
      <c r="E8" s="9" t="s">
        <v>111</v>
      </c>
      <c r="F8" s="13" t="s">
        <v>4</v>
      </c>
      <c r="G8" s="9" t="s">
        <v>278</v>
      </c>
      <c r="H8" s="12" t="s">
        <v>14</v>
      </c>
      <c r="I8" s="9" t="n">
        <v>3</v>
      </c>
      <c r="J8" s="9" t="s">
        <v>279</v>
      </c>
      <c r="K8" s="9" t="s">
        <v>261</v>
      </c>
    </row>
    <row r="9" customFormat="false" ht="23.85" hidden="false" customHeight="false" outlineLevel="0" collapsed="false">
      <c r="A9" s="9" t="n">
        <v>6</v>
      </c>
      <c r="B9" s="9" t="s">
        <v>280</v>
      </c>
      <c r="C9" s="9" t="s">
        <v>281</v>
      </c>
      <c r="D9" s="9" t="s">
        <v>282</v>
      </c>
      <c r="E9" s="9" t="s">
        <v>283</v>
      </c>
      <c r="F9" s="13" t="s">
        <v>4</v>
      </c>
      <c r="G9" s="9" t="s">
        <v>284</v>
      </c>
      <c r="H9" s="12" t="s">
        <v>14</v>
      </c>
      <c r="I9" s="9" t="n">
        <v>3</v>
      </c>
      <c r="J9" s="9" t="s">
        <v>285</v>
      </c>
      <c r="K9" s="9" t="s">
        <v>261</v>
      </c>
    </row>
    <row r="10" customFormat="false" ht="15" hidden="false" customHeight="false" outlineLevel="0" collapsed="false">
      <c r="A10" s="9" t="n">
        <v>7</v>
      </c>
      <c r="B10" s="9" t="s">
        <v>286</v>
      </c>
      <c r="C10" s="9" t="s">
        <v>287</v>
      </c>
      <c r="D10" s="9" t="s">
        <v>135</v>
      </c>
      <c r="E10" s="9" t="s">
        <v>102</v>
      </c>
      <c r="F10" s="13" t="s">
        <v>4</v>
      </c>
      <c r="G10" s="9" t="s">
        <v>288</v>
      </c>
      <c r="H10" s="12" t="s">
        <v>14</v>
      </c>
      <c r="I10" s="9" t="n">
        <v>4</v>
      </c>
      <c r="J10" s="9" t="s">
        <v>289</v>
      </c>
      <c r="K10" s="9" t="s">
        <v>261</v>
      </c>
    </row>
    <row r="11" customFormat="false" ht="15" hidden="false" customHeight="false" outlineLevel="0" collapsed="false">
      <c r="A11" s="9" t="n">
        <v>8</v>
      </c>
      <c r="B11" s="9" t="s">
        <v>290</v>
      </c>
      <c r="C11" s="9" t="s">
        <v>291</v>
      </c>
      <c r="D11" s="9" t="s">
        <v>292</v>
      </c>
      <c r="E11" s="9" t="s">
        <v>66</v>
      </c>
      <c r="F11" s="13" t="s">
        <v>4</v>
      </c>
      <c r="G11" s="9" t="s">
        <v>293</v>
      </c>
      <c r="H11" s="12" t="s">
        <v>14</v>
      </c>
      <c r="I11" s="9" t="n">
        <v>3</v>
      </c>
      <c r="J11" s="9" t="s">
        <v>294</v>
      </c>
      <c r="K11" s="9" t="s">
        <v>261</v>
      </c>
    </row>
    <row r="12" customFormat="false" ht="35.05" hidden="false" customHeight="false" outlineLevel="0" collapsed="false">
      <c r="A12" s="9" t="n">
        <v>9</v>
      </c>
      <c r="B12" s="9" t="s">
        <v>295</v>
      </c>
      <c r="C12" s="9" t="s">
        <v>296</v>
      </c>
      <c r="D12" s="9" t="s">
        <v>297</v>
      </c>
      <c r="E12" s="9" t="s">
        <v>111</v>
      </c>
      <c r="F12" s="12" t="s">
        <v>3</v>
      </c>
      <c r="G12" s="9" t="s">
        <v>298</v>
      </c>
      <c r="H12" s="10" t="s">
        <v>15</v>
      </c>
      <c r="I12" s="9" t="n">
        <v>8</v>
      </c>
      <c r="J12" s="9" t="s">
        <v>299</v>
      </c>
      <c r="K12" s="9" t="s">
        <v>261</v>
      </c>
    </row>
    <row r="13" customFormat="false" ht="23.85" hidden="false" customHeight="false" outlineLevel="0" collapsed="false">
      <c r="A13" s="9" t="n">
        <v>10</v>
      </c>
      <c r="B13" s="9" t="s">
        <v>300</v>
      </c>
      <c r="C13" s="9" t="s">
        <v>301</v>
      </c>
      <c r="D13" s="9" t="s">
        <v>187</v>
      </c>
      <c r="E13" s="9" t="s">
        <v>111</v>
      </c>
      <c r="F13" s="12" t="s">
        <v>3</v>
      </c>
      <c r="G13" s="9" t="s">
        <v>302</v>
      </c>
      <c r="H13" s="10" t="s">
        <v>15</v>
      </c>
      <c r="I13" s="9" t="n">
        <v>6</v>
      </c>
      <c r="J13" s="9" t="s">
        <v>303</v>
      </c>
      <c r="K13" s="9" t="s">
        <v>261</v>
      </c>
    </row>
    <row r="14" customFormat="false" ht="23.85" hidden="false" customHeight="false" outlineLevel="0" collapsed="false">
      <c r="A14" s="9" t="n">
        <v>11</v>
      </c>
      <c r="B14" s="9" t="s">
        <v>304</v>
      </c>
      <c r="C14" s="9" t="s">
        <v>305</v>
      </c>
      <c r="D14" s="9" t="s">
        <v>306</v>
      </c>
      <c r="E14" s="9" t="s">
        <v>102</v>
      </c>
      <c r="F14" s="13" t="s">
        <v>4</v>
      </c>
      <c r="G14" s="9" t="s">
        <v>307</v>
      </c>
      <c r="H14" s="10" t="s">
        <v>15</v>
      </c>
      <c r="I14" s="9" t="n">
        <v>6</v>
      </c>
      <c r="J14" s="9" t="s">
        <v>308</v>
      </c>
      <c r="K14" s="9" t="s">
        <v>261</v>
      </c>
    </row>
    <row r="16" customFormat="false" ht="15" hidden="false" customHeight="false" outlineLevel="0" collapsed="false">
      <c r="H16" s="5" t="s">
        <v>252</v>
      </c>
      <c r="I16" s="5" t="n">
        <f aca="false">SUM(I4:I14)</f>
        <v>38.5</v>
      </c>
    </row>
  </sheetData>
  <autoFilter ref="A3:K14"/>
  <dataValidations count="1">
    <dataValidation allowBlank="true" errorStyle="stop" operator="between" showDropDown="false" showErrorMessage="false" showInputMessage="false" sqref="K4:K14" type="list">
      <formula1>"À tester,Testé : à faire,Testé : inutile,Fait"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5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309</v>
      </c>
    </row>
    <row r="3" customFormat="false" ht="15" hidden="false" customHeight="false" outlineLevel="0" collapsed="false">
      <c r="A3" s="8" t="s">
        <v>310</v>
      </c>
      <c r="B3" s="8" t="s">
        <v>311</v>
      </c>
      <c r="C3" s="8" t="s">
        <v>26</v>
      </c>
      <c r="D3" s="8" t="s">
        <v>312</v>
      </c>
      <c r="E3" s="8" t="s">
        <v>313</v>
      </c>
      <c r="F3" s="8" t="s">
        <v>30</v>
      </c>
    </row>
    <row r="4" customFormat="false" ht="23.85" hidden="false" customHeight="false" outlineLevel="0" collapsed="false">
      <c r="A4" s="9" t="n">
        <v>1</v>
      </c>
      <c r="B4" s="9" t="s">
        <v>314</v>
      </c>
      <c r="C4" s="9" t="s">
        <v>315</v>
      </c>
      <c r="D4" s="9" t="s">
        <v>316</v>
      </c>
      <c r="E4" s="9" t="s">
        <v>317</v>
      </c>
      <c r="F4" s="9" t="s">
        <v>318</v>
      </c>
    </row>
    <row r="5" customFormat="false" ht="15" hidden="false" customHeight="false" outlineLevel="0" collapsed="false">
      <c r="A5" s="9" t="n">
        <v>2</v>
      </c>
      <c r="B5" s="9" t="s">
        <v>319</v>
      </c>
      <c r="C5" s="9" t="s">
        <v>167</v>
      </c>
      <c r="D5" s="9" t="s">
        <v>320</v>
      </c>
      <c r="E5" s="9" t="s">
        <v>321</v>
      </c>
      <c r="F5" s="9" t="s">
        <v>318</v>
      </c>
    </row>
    <row r="6" customFormat="false" ht="23.85" hidden="false" customHeight="false" outlineLevel="0" collapsed="false">
      <c r="A6" s="9" t="n">
        <v>3</v>
      </c>
      <c r="B6" s="9" t="s">
        <v>322</v>
      </c>
      <c r="C6" s="9" t="s">
        <v>323</v>
      </c>
      <c r="D6" s="9" t="s">
        <v>324</v>
      </c>
      <c r="E6" s="9" t="s">
        <v>325</v>
      </c>
      <c r="F6" s="9" t="s">
        <v>318</v>
      </c>
    </row>
    <row r="7" customFormat="false" ht="15" hidden="false" customHeight="false" outlineLevel="0" collapsed="false">
      <c r="A7" s="9" t="n">
        <v>4</v>
      </c>
      <c r="B7" s="9" t="s">
        <v>326</v>
      </c>
      <c r="C7" s="9" t="s">
        <v>66</v>
      </c>
      <c r="D7" s="9" t="s">
        <v>327</v>
      </c>
      <c r="E7" s="9" t="s">
        <v>328</v>
      </c>
      <c r="F7" s="9" t="s">
        <v>318</v>
      </c>
    </row>
    <row r="8" customFormat="false" ht="15" hidden="false" customHeight="false" outlineLevel="0" collapsed="false">
      <c r="A8" s="9" t="n">
        <v>5</v>
      </c>
      <c r="B8" s="9" t="s">
        <v>329</v>
      </c>
      <c r="C8" s="9" t="s">
        <v>52</v>
      </c>
      <c r="D8" s="9" t="s">
        <v>330</v>
      </c>
      <c r="E8" s="9" t="s">
        <v>331</v>
      </c>
      <c r="F8" s="9" t="s">
        <v>318</v>
      </c>
    </row>
    <row r="9" customFormat="false" ht="23.85" hidden="false" customHeight="false" outlineLevel="0" collapsed="false">
      <c r="A9" s="9" t="n">
        <v>6</v>
      </c>
      <c r="B9" s="9" t="s">
        <v>332</v>
      </c>
      <c r="C9" s="9" t="s">
        <v>333</v>
      </c>
      <c r="D9" s="9" t="s">
        <v>334</v>
      </c>
      <c r="E9" s="9" t="s">
        <v>331</v>
      </c>
      <c r="F9" s="9" t="s">
        <v>318</v>
      </c>
    </row>
    <row r="10" customFormat="false" ht="15" hidden="false" customHeight="false" outlineLevel="0" collapsed="false">
      <c r="A10" s="9" t="n">
        <v>7</v>
      </c>
      <c r="B10" s="9" t="s">
        <v>335</v>
      </c>
      <c r="C10" s="9" t="s">
        <v>111</v>
      </c>
      <c r="D10" s="9" t="s">
        <v>336</v>
      </c>
      <c r="E10" s="9" t="s">
        <v>337</v>
      </c>
      <c r="F10" s="9" t="s">
        <v>318</v>
      </c>
    </row>
    <row r="11" customFormat="false" ht="15" hidden="false" customHeight="false" outlineLevel="0" collapsed="false">
      <c r="A11" s="9" t="n">
        <v>8</v>
      </c>
      <c r="B11" s="9" t="s">
        <v>338</v>
      </c>
      <c r="C11" s="9" t="s">
        <v>167</v>
      </c>
      <c r="D11" s="9" t="s">
        <v>339</v>
      </c>
      <c r="E11" s="9" t="s">
        <v>340</v>
      </c>
      <c r="F11" s="9" t="s">
        <v>318</v>
      </c>
    </row>
    <row r="12" customFormat="false" ht="23.85" hidden="false" customHeight="false" outlineLevel="0" collapsed="false">
      <c r="A12" s="9" t="n">
        <v>9</v>
      </c>
      <c r="B12" s="9" t="s">
        <v>341</v>
      </c>
      <c r="C12" s="9" t="s">
        <v>52</v>
      </c>
      <c r="D12" s="9" t="s">
        <v>342</v>
      </c>
      <c r="E12" s="9" t="s">
        <v>343</v>
      </c>
      <c r="F12" s="9" t="s">
        <v>318</v>
      </c>
    </row>
  </sheetData>
  <autoFilter ref="A3:F12"/>
  <dataValidations count="1">
    <dataValidation allowBlank="true" errorStyle="stop" operator="between" showDropDown="false" showErrorMessage="false" showInputMessage="false" sqref="F4:F12" type="list">
      <formula1>"À vérifier,Vérifié : vrai problème,Vérifié : rien à faire"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2026-10-22T05:50:50Z</dcterms:created>
  <dc:creator>openpyxl</dc:creator>
  <dc:description/>
  <dc:language>en-US</dc:language>
  <cp:lastModifiedBy/>
  <dcterms:modified xsi:type="dcterms:W3CDTF">2026-10-22T05:50:50Z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